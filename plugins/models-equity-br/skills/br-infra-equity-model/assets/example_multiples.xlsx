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xr:revisionPtr revIDLastSave="0" documentId="8_{945F700B-49AE-4076-947F-12C37DF2346C}" xr6:coauthVersionLast="47" xr6:coauthVersionMax="47" xr10:uidLastSave="{00000000-0000-0000-0000-000000000000}"/>
  <bookViews>
    <workbookView xWindow="28680" yWindow="-120" windowWidth="29040" windowHeight="15840" xr2:uid="{A135AB63-D62D-46EE-89C5-5E4B667404EC}"/>
  </bookViews>
  <sheets>
    <sheet name="Multiples" sheetId="1" r:id="rId1"/>
  </sheets>
  <definedNames>
    <definedName name="price">Multiples!$J$4</definedName>
    <definedName name="shares">Multiples!$I$4</definedName>
    <definedName name="_xlnm.Print_Area" localSheetId="0">Multiples!$B$2:$AE$65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<sst xmlns="http://schemas.openxmlformats.org/spreadsheetml/2006/main" count="73" uniqueCount="61">
  <si>
    <t>Exemplo ilustrativo - Consolidated</t>
  </si>
  <si>
    <t>Shares</t>
  </si>
  <si>
    <t>Price</t>
  </si>
  <si>
    <t>Mkt Cap</t>
  </si>
  <si>
    <t xml:space="preserve"> (th)</t>
  </si>
  <si>
    <t xml:space="preserve"> (R$)</t>
  </si>
  <si>
    <t xml:space="preserve"> (R$ mn)</t>
  </si>
  <si>
    <t>CAGR 18Y</t>
  </si>
  <si>
    <t>Income Statement -  R$ 000</t>
  </si>
  <si>
    <t>2025/2030</t>
  </si>
  <si>
    <t>Revenues</t>
  </si>
  <si>
    <t>EBITDA</t>
  </si>
  <si>
    <t>D&amp;A</t>
  </si>
  <si>
    <t xml:space="preserve">EBIT  </t>
  </si>
  <si>
    <t>Interest expense</t>
  </si>
  <si>
    <t>EBT</t>
  </si>
  <si>
    <t>Taxes</t>
  </si>
  <si>
    <t>Net Profit</t>
  </si>
  <si>
    <t>GeT</t>
  </si>
  <si>
    <t xml:space="preserve">D </t>
  </si>
  <si>
    <t>Others</t>
  </si>
  <si>
    <t>Var. EBITDA</t>
  </si>
  <si>
    <t>Var. Net Profit</t>
  </si>
  <si>
    <t>MARGINS</t>
  </si>
  <si>
    <t>Net mg</t>
  </si>
  <si>
    <t>EBITDA mg</t>
  </si>
  <si>
    <t>Tax Bracket</t>
  </si>
  <si>
    <t>MULTIPLES</t>
  </si>
  <si>
    <t>Closing Price (R$/share)</t>
  </si>
  <si>
    <t>Total Number of Shares</t>
  </si>
  <si>
    <t>Mkt cap</t>
  </si>
  <si>
    <t>EV/EBITDA</t>
  </si>
  <si>
    <t>P/E</t>
  </si>
  <si>
    <t>P/B</t>
  </si>
  <si>
    <t>NOPAT</t>
  </si>
  <si>
    <t>Invested Capital (liability side)</t>
  </si>
  <si>
    <t>Net Debt</t>
  </si>
  <si>
    <t>FCF</t>
  </si>
  <si>
    <t>ROE</t>
  </si>
  <si>
    <t>ROIC</t>
  </si>
  <si>
    <t>FCF Yield</t>
  </si>
  <si>
    <t xml:space="preserve">Net Debt / EBITDA </t>
  </si>
  <si>
    <t>Pay Out</t>
  </si>
  <si>
    <t>Dividend Yield</t>
  </si>
  <si>
    <t>Dividends</t>
  </si>
  <si>
    <t>Capex</t>
  </si>
  <si>
    <t>Equity</t>
  </si>
  <si>
    <t>DPS</t>
  </si>
  <si>
    <t>Dividends for the year</t>
  </si>
  <si>
    <t>DPS for the year</t>
  </si>
  <si>
    <t>BPS</t>
  </si>
  <si>
    <t>BPS PN</t>
  </si>
  <si>
    <t>EV</t>
  </si>
  <si>
    <t>Net debt</t>
  </si>
  <si>
    <t>chg</t>
  </si>
  <si>
    <t>consensus (illustrative)</t>
  </si>
  <si>
    <t xml:space="preserve">EBITDA  </t>
  </si>
  <si>
    <t>EBITDA consensus</t>
  </si>
  <si>
    <t>%</t>
  </si>
  <si>
    <t xml:space="preserve">Net income  </t>
  </si>
  <si>
    <t>Net income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</si>
</sst>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\(#,##0\)"/>
    <numFmt numFmtId="165" formatCode="#,##0.000"/>
    <numFmt numFmtId="166" formatCode="0.0%"/>
    <numFmt numFmtId="167" formatCode="#,##0_);[Black]\(#,##0\)"/>
    <numFmt numFmtId="168" formatCode="#,##0.0"/>
    <numFmt numFmtId="169" formatCode="#,##0.0_);[Black]\(#,##0.0\)"/>
  </numFmts>
  <fonts count="7">
    <font>
      <sz val="11"/>
      <color theme="1"/>
      <name val="Calibri"/>
      <family val="2"/>
      <scheme val="minor"/>
    </font>
    <font>
      <sz val="10.5"/>
      <name val="Frutiger 45 Light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.5"/>
      <name val="Frutiger 45 Light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7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" fontId="2" fillId="2" borderId="1" xfId="1" applyNumberFormat="1" applyFont="1" applyFill="1" applyBorder="1" applyAlignment="1">
      <alignment horizontal="center"/>
    </xf>
    <xf numFmtId="0" fontId="3" fillId="2" borderId="1" xfId="1" applyNumberFormat="1" applyFont="1" applyFill="1" applyBorder="1"/>
    <xf numFmtId="0" fontId="2" fillId="2" borderId="1" xfId="1" applyNumberFormat="1" applyFont="1" applyFill="1" applyBorder="1" applyAlignment="1">
      <alignment horizontal="center" wrapText="1"/>
    </xf>
    <xf numFmtId="0" fontId="1" fillId="0" borderId="0" xfId="1" applyNumberFormat="1"/>
    <xf numFmtId="1" fontId="2" fillId="2" borderId="0" xfId="1" applyNumberFormat="1" applyFont="1" applyFill="1" applyAlignment="1">
      <alignment horizontal="center"/>
    </xf>
    <xf numFmtId="0" fontId="3" fillId="2" borderId="0" xfId="1" applyNumberFormat="1" applyFont="1" applyFill="1"/>
    <xf numFmtId="0" fontId="2" fillId="2" borderId="0" xfId="1" applyNumberFormat="1" applyFont="1" applyFill="1" applyAlignment="1">
      <alignment horizontal="center" wrapText="1"/>
    </xf>
    <xf numFmtId="164" fontId="4" fillId="2" borderId="0" xfId="2" applyNumberFormat="1" applyFont="1" applyFill="1" applyAlignment="1">
      <alignment horizontal="center"/>
    </xf>
    <xf numFmtId="4" fontId="4" fillId="2" borderId="0" xfId="2" applyNumberFormat="1" applyFont="1" applyFill="1" applyAlignment="1">
      <alignment horizontal="center"/>
    </xf>
    <xf numFmtId="3" fontId="3" fillId="2" borderId="0" xfId="2" applyNumberFormat="1" applyFont="1" applyFill="1" applyAlignment="1">
      <alignment horizontal="center"/>
    </xf>
    <xf numFmtId="0" fontId="3" fillId="2" borderId="2" xfId="1" applyNumberFormat="1" applyFont="1" applyFill="1" applyBorder="1"/>
    <xf numFmtId="165" fontId="4" fillId="2" borderId="2" xfId="2" applyNumberFormat="1" applyFont="1" applyFill="1" applyBorder="1" applyAlignment="1">
      <alignment horizontal="center"/>
    </xf>
    <xf numFmtId="3" fontId="3" fillId="2" borderId="2" xfId="2" applyNumberFormat="1" applyFont="1" applyFill="1" applyBorder="1" applyAlignment="1">
      <alignment horizontal="center"/>
    </xf>
    <xf numFmtId="15" fontId="2" fillId="3" borderId="0" xfId="1" applyNumberFormat="1" applyFont="1" applyFill="1" applyAlignment="1">
      <alignment horizontal="left"/>
    </xf>
    <xf numFmtId="0" fontId="3" fillId="4" borderId="0" xfId="1" applyNumberFormat="1" applyFont="1" applyFill="1"/>
    <xf numFmtId="166" fontId="3" fillId="3" borderId="0" xfId="3" applyNumberFormat="1" applyFont="1" applyFill="1"/>
    <xf numFmtId="0" fontId="2" fillId="2" borderId="3" xfId="1" applyNumberFormat="1" applyFont="1" applyFill="1" applyBorder="1" applyAlignment="1">
      <alignment horizontal="right"/>
    </xf>
    <xf numFmtId="0" fontId="2" fillId="2" borderId="4" xfId="1" applyNumberFormat="1" applyFont="1" applyFill="1" applyBorder="1"/>
    <xf numFmtId="0" fontId="2" fillId="2" borderId="4" xfId="1" applyNumberFormat="1" applyFont="1" applyFill="1" applyBorder="1" applyAlignment="1">
      <alignment horizontal="right"/>
    </xf>
    <xf numFmtId="0" fontId="2" fillId="2" borderId="2" xfId="1" applyNumberFormat="1" applyFont="1" applyFill="1" applyBorder="1" applyAlignment="1">
      <alignment horizontal="right"/>
    </xf>
    <xf numFmtId="0" fontId="2" fillId="2" borderId="5" xfId="1" applyNumberFormat="1" applyFont="1" applyFill="1" applyBorder="1" applyAlignment="1">
      <alignment horizontal="right"/>
    </xf>
    <xf numFmtId="0" fontId="2" fillId="3" borderId="0" xfId="1" applyNumberFormat="1" applyFont="1" applyFill="1"/>
    <xf numFmtId="166" fontId="3" fillId="3" borderId="0" xfId="3" applyNumberFormat="1" applyFont="1" applyFill="1" applyAlignment="1">
      <alignment horizontal="right"/>
    </xf>
    <xf numFmtId="9" fontId="3" fillId="3" borderId="0" xfId="3" applyFont="1" applyFill="1" applyAlignment="1">
      <alignment horizontal="center"/>
    </xf>
    <xf numFmtId="167" fontId="2" fillId="3" borderId="0" xfId="2" applyNumberFormat="1" applyFont="1" applyFill="1" applyAlignment="1">
      <alignment horizontal="right"/>
    </xf>
    <xf numFmtId="0" fontId="3" fillId="3" borderId="0" xfId="1" applyNumberFormat="1" applyFont="1" applyFill="1"/>
    <xf numFmtId="167" fontId="3" fillId="3" borderId="0" xfId="2" applyNumberFormat="1" applyFont="1" applyFill="1" applyAlignment="1">
      <alignment horizontal="right"/>
    </xf>
    <xf numFmtId="0" fontId="2" fillId="4" borderId="0" xfId="1" applyNumberFormat="1" applyFont="1" applyFill="1"/>
    <xf numFmtId="166" fontId="2" fillId="3" borderId="0" xfId="3" applyNumberFormat="1" applyFont="1" applyFill="1"/>
    <xf numFmtId="0" fontId="5" fillId="0" borderId="0" xfId="1" applyNumberFormat="1" applyFont="1"/>
    <xf numFmtId="0" fontId="3" fillId="4" borderId="0" xfId="1" applyNumberFormat="1" applyFont="1" applyFill="1" applyAlignment="1">
      <alignment horizontal="left" indent="1"/>
    </xf>
    <xf numFmtId="0" fontId="2" fillId="2" borderId="4" xfId="1" quotePrefix="1" applyNumberFormat="1" applyFont="1" applyFill="1" applyBorder="1" applyAlignment="1">
      <alignment horizontal="right"/>
    </xf>
    <xf numFmtId="4" fontId="3" fillId="3" borderId="0" xfId="3" applyNumberFormat="1" applyFont="1" applyFill="1" applyAlignment="1">
      <alignment horizontal="right"/>
    </xf>
    <xf numFmtId="4" fontId="6" fillId="3" borderId="0" xfId="3" applyNumberFormat="1" applyFont="1" applyFill="1" applyAlignment="1">
      <alignment horizontal="right"/>
    </xf>
    <xf numFmtId="3" fontId="3" fillId="3" borderId="0" xfId="3" applyNumberFormat="1" applyFont="1" applyFill="1" applyAlignment="1">
      <alignment horizontal="right"/>
    </xf>
    <xf numFmtId="3" fontId="6" fillId="3" borderId="0" xfId="3" applyNumberFormat="1" applyFont="1" applyFill="1" applyAlignment="1">
      <alignment horizontal="right"/>
    </xf>
    <xf numFmtId="168" fontId="3" fillId="3" borderId="0" xfId="3" applyNumberFormat="1" applyFont="1" applyFill="1" applyAlignment="1">
      <alignment horizontal="right"/>
    </xf>
    <xf numFmtId="168" fontId="6" fillId="3" borderId="0" xfId="3" applyNumberFormat="1" applyFont="1" applyFill="1" applyAlignment="1">
      <alignment horizontal="right"/>
    </xf>
    <xf numFmtId="166" fontId="3" fillId="0" borderId="0" xfId="3" applyNumberFormat="1" applyFont="1" applyFill="1" applyAlignment="1">
      <alignment horizontal="right"/>
    </xf>
    <xf numFmtId="166" fontId="3" fillId="4" borderId="0" xfId="1" applyNumberFormat="1" applyFont="1" applyFill="1"/>
    <xf numFmtId="166" fontId="6" fillId="3" borderId="0" xfId="3" applyNumberFormat="1" applyFont="1" applyFill="1" applyAlignment="1">
      <alignment horizontal="right"/>
    </xf>
    <xf numFmtId="166" fontId="3" fillId="5" borderId="0" xfId="3" applyNumberFormat="1" applyFont="1" applyFill="1" applyAlignment="1">
      <alignment horizontal="right"/>
    </xf>
    <xf numFmtId="169" fontId="3" fillId="3" borderId="0" xfId="2" applyNumberFormat="1" applyFont="1" applyFill="1" applyAlignment="1">
      <alignment horizontal="right"/>
    </xf>
    <xf numFmtId="3" fontId="3" fillId="4" borderId="0" xfId="1" applyNumberFormat="1" applyFont="1" applyFill="1"/>
    <xf numFmtId="3" fontId="1" fillId="0" borderId="0" xfId="1" applyNumberFormat="1"/>
    <xf numFmtId="4" fontId="1" fillId="0" borderId="0" xfId="1" applyNumberFormat="1"/>
    <xf numFmtId="168" fontId="1" fillId="0" borderId="0" xfId="1" applyNumberFormat="1"/>
    <xf numFmtId="166" fontId="1" fillId="0" borderId="0" xfId="1" applyNumberFormat="1"/>
    <xf numFmtId="167" fontId="1" fillId="0" borderId="0" xfId="1" applyNumberFormat="1"/>
  </cellXfs>
  <cellStyles count="4">
    <cellStyle name="Normal" xfId="0" builtinId="0"/>
    <cellStyle name="Normal 2" xfId="1" xr:uid="{4531772D-7AEE-448E-89CE-8A511F061F06}"/>
    <cellStyle name="Porcentagem 2" xfId="3" xr:uid="{54DDB08B-5339-4DA1-8B94-785B27DE6A73}"/>
    <cellStyle name="Vírgula 2" xfId="2" xr:uid="{118E4AAF-AD55-4386-BE34-91CB5F37C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Multiples!$B$85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Multiples!$D$40:$V$40</c:f>
            </c:numRef>
          </c:cat>
          <c:val>
            <c:numRef>
              <c:f>Multiples!$D$85:$U$85</c:f>
            </c:numRef>
          </c:val>
          <c:extLst>
            <c:ext xmlns:c16="http://schemas.microsoft.com/office/drawing/2014/chart" uri="{C3380CC4-5D6E-409C-BE32-E72D297353CC}">
              <c16:uniqueId val="{00000000-4719-4C2B-A35A-2ED8C1591986}"/>
            </c:ext>
          </c:extLst>
        </c:ser>
        <c:ser>
          <c:idx val="2"/>
          <c:order val="1"/>
          <c:tx>
            <c:strRef>
              <c:f>Multiples!$B$86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Multiples!$D$40:$V$40</c:f>
            </c:numRef>
          </c:cat>
          <c:val>
            <c:numRef>
              <c:f>Multiples!$E$86:$U$86</c:f>
            </c:numRef>
          </c:val>
          <c:extLst>
            <c:ext xmlns:c16="http://schemas.microsoft.com/office/drawing/2014/chart" uri="{C3380CC4-5D6E-409C-BE32-E72D297353CC}">
              <c16:uniqueId val="{00000001-4719-4C2B-A35A-2ED8C159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435743"/>
        <c:axId val="1482438239"/>
      </c:areaChart>
      <c:catAx>
        <c:axId val="148243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38239"/>
        <c:crosses val="autoZero"/>
        <c:auto val="1"/>
        <c:lblAlgn val="ctr"/>
        <c:lblOffset val="100"/>
        <c:noMultiLvlLbl val="0"/>
      </c:catAx>
      <c:valAx>
        <c:axId val="14824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3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Multiples!$D$87:$M$87</c:f>
            </c:numRef>
          </c:val>
          <c:smooth val="0"/>
          <c:extLst>
            <c:ext xmlns:c16="http://schemas.microsoft.com/office/drawing/2014/chart" uri="{C3380CC4-5D6E-409C-BE32-E72D297353CC}">
              <c16:uniqueId val="{00000000-3A16-4D8E-A007-BA3C8A05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415855"/>
        <c:axId val="1647436239"/>
      </c:lineChart>
      <c:catAx>
        <c:axId val="164741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36239"/>
        <c:crosses val="autoZero"/>
        <c:auto val="1"/>
        <c:lblAlgn val="ctr"/>
        <c:lblOffset val="100"/>
        <c:noMultiLvlLbl val="0"/>
      </c:catAx>
      <c:valAx>
        <c:axId val="16474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1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Modelo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Multiples!$P$94:$R$94</c:f>
            </c:numRef>
          </c:cat>
          <c:val>
            <c:numRef>
              <c:f>Multiples!$P$103:$R$103</c:f>
            </c:numRef>
          </c:val>
          <c:extLst>
            <c:ext xmlns:c16="http://schemas.microsoft.com/office/drawing/2014/chart" uri="{C3380CC4-5D6E-409C-BE32-E72D297353CC}">
              <c16:uniqueId val="{00000000-88D0-4CF9-A747-5055BCE25F27}"/>
            </c:ext>
          </c:extLst>
        </c:ser>
        <c:ser>
          <c:idx val="1"/>
          <c:order val="1"/>
          <c:tx>
            <c:v>Consenso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Multiples!$P$94:$R$94</c:f>
            </c:numRef>
          </c:cat>
          <c:val>
            <c:numRef>
              <c:f>Multiples!$P$104:$R$104</c:f>
            </c:numRef>
          </c:val>
          <c:extLst>
            <c:ext xmlns:c16="http://schemas.microsoft.com/office/drawing/2014/chart" uri="{C3380CC4-5D6E-409C-BE32-E72D297353CC}">
              <c16:uniqueId val="{00000001-88D0-4CF9-A747-5055BCE2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567247"/>
        <c:axId val="293565327"/>
      </c:barChart>
      <c:catAx>
        <c:axId val="29356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65327"/>
        <c:crosses val="autoZero"/>
        <c:auto val="1"/>
        <c:lblAlgn val="ctr"/>
        <c:lblOffset val="100"/>
        <c:noMultiLvlLbl val="0"/>
      </c:catAx>
      <c:valAx>
        <c:axId val="293565327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Black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6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Modelo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Multiples!$P$94:$R$94</c:f>
            </c:numRef>
          </c:cat>
          <c:val>
            <c:numRef>
              <c:f>Multiples!$P$109:$R$109</c:f>
            </c:numRef>
          </c:val>
          <c:extLst>
            <c:ext xmlns:c16="http://schemas.microsoft.com/office/drawing/2014/chart" uri="{C3380CC4-5D6E-409C-BE32-E72D297353CC}">
              <c16:uniqueId val="{00000000-F235-4E6E-BFAA-779CF18A2CBC}"/>
            </c:ext>
          </c:extLst>
        </c:ser>
        <c:ser>
          <c:idx val="1"/>
          <c:order val="1"/>
          <c:tx>
            <c:v>Consenso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Multiples!$P$94:$R$94</c:f>
            </c:numRef>
          </c:cat>
          <c:val>
            <c:numRef>
              <c:f>Multiples!$P$110:$R$110</c:f>
            </c:numRef>
          </c:val>
          <c:extLst>
            <c:ext xmlns:c16="http://schemas.microsoft.com/office/drawing/2014/chart" uri="{C3380CC4-5D6E-409C-BE32-E72D297353CC}">
              <c16:uniqueId val="{00000001-F235-4E6E-BFAA-779CF18A2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567247"/>
        <c:axId val="293565327"/>
      </c:barChart>
      <c:catAx>
        <c:axId val="29356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65327"/>
        <c:crosses val="autoZero"/>
        <c:auto val="1"/>
        <c:lblAlgn val="ctr"/>
        <c:lblOffset val="100"/>
        <c:noMultiLvlLbl val="0"/>
      </c:catAx>
      <c:valAx>
        <c:axId val="2935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6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debt / 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Multiples!$L$40:$V$40</c:f>
            </c:numRef>
          </c:cat>
          <c:val>
            <c:numRef>
              <c:f>Multiples!$L$57:$V$57</c:f>
            </c:numRef>
          </c:val>
          <c:extLst>
            <c:ext xmlns:c16="http://schemas.microsoft.com/office/drawing/2014/chart" uri="{C3380CC4-5D6E-409C-BE32-E72D297353CC}">
              <c16:uniqueId val="{00000000-89CA-4771-A952-16C15E762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745039"/>
        <c:axId val="1582734639"/>
      </c:barChart>
      <c:catAx>
        <c:axId val="15827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34639"/>
        <c:crosses val="autoZero"/>
        <c:auto val="1"/>
        <c:lblAlgn val="ctr"/>
        <c:lblOffset val="100"/>
        <c:noMultiLvlLbl val="0"/>
      </c:catAx>
      <c:valAx>
        <c:axId val="15827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Black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</a:t>
            </a:r>
            <a:r>
              <a:rPr lang="en-US" baseline="0"/>
              <a:t> yield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Multiples!$L$40:$V$40</c:f>
            </c:numRef>
          </c:cat>
          <c:val>
            <c:numRef>
              <c:f>Multiples!$L$60:$V$60</c:f>
            </c:numRef>
          </c:val>
          <c:extLst>
            <c:ext xmlns:c16="http://schemas.microsoft.com/office/drawing/2014/chart" uri="{C3380CC4-5D6E-409C-BE32-E72D297353CC}">
              <c16:uniqueId val="{00000000-EF28-4352-9C9C-944E68DF0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745039"/>
        <c:axId val="1582734639"/>
      </c:barChart>
      <c:catAx>
        <c:axId val="15827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34639"/>
        <c:crosses val="autoZero"/>
        <c:auto val="1"/>
        <c:lblAlgn val="ctr"/>
        <c:lblOffset val="100"/>
        <c:noMultiLvlLbl val="0"/>
      </c:catAx>
      <c:valAx>
        <c:axId val="15827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(R$mn)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Multiples!$B$20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Multiples!$I$40:$R$40</c:f>
            </c:numRef>
          </c:cat>
          <c:val>
            <c:numRef>
              <c:f>Multiples!$F$20:$R$20</c:f>
            </c:numRef>
          </c:val>
          <c:smooth val="0"/>
          <c:extLst>
            <c:ext xmlns:c16="http://schemas.microsoft.com/office/drawing/2014/chart" uri="{C3380CC4-5D6E-409C-BE32-E72D297353CC}">
              <c16:uniqueId val="{00000000-405E-4E86-B686-72C887DCD62C}"/>
            </c:ext>
          </c:extLst>
        </c:ser>
        <c:ser>
          <c:idx val="1"/>
          <c:order val="1"/>
          <c:tx>
            <c:strRef>
              <c:f>Multiples!$B$21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Multiples!$I$21:$R$21</c:f>
            </c:numRef>
          </c:val>
          <c:smooth val="0"/>
          <c:extLst>
            <c:ext xmlns:c16="http://schemas.microsoft.com/office/drawing/2014/chart" uri="{C3380CC4-5D6E-409C-BE32-E72D297353CC}">
              <c16:uniqueId val="{00000001-405E-4E86-B686-72C887DCD62C}"/>
            </c:ext>
          </c:extLst>
        </c:ser>
        <c:ser>
          <c:idx val="2"/>
          <c:order val="2"/>
          <c:tx>
            <c:strRef>
              <c:f>Multiples!$B$22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Multiples!$I$22:$R$22</c:f>
            </c:numRef>
          </c:val>
          <c:smooth val="0"/>
          <c:extLst>
            <c:ext xmlns:c16="http://schemas.microsoft.com/office/drawing/2014/chart" uri="{C3380CC4-5D6E-409C-BE32-E72D297353CC}">
              <c16:uniqueId val="{00000002-405E-4E86-B686-72C887DCD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745039"/>
        <c:axId val="1582734639"/>
      </c:lineChart>
      <c:catAx>
        <c:axId val="15827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34639"/>
        <c:crosses val="autoZero"/>
        <c:auto val="1"/>
        <c:lblAlgn val="ctr"/>
        <c:lblOffset val="100"/>
        <c:tickLblSkip val="1"/>
        <c:noMultiLvlLbl val="0"/>
      </c:catAx>
      <c:valAx>
        <c:axId val="15827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Black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</a:t>
            </a:r>
            <a:r>
              <a:rPr lang="en-US" baseline="0"/>
              <a:t> &amp; FCF yield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Div yield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Multiples!$Q$40:$AA$40</c:f>
            </c:numRef>
          </c:cat>
          <c:val>
            <c:numRef>
              <c:f>Multiples!$Q$60:$AA$60</c:f>
            </c:numRef>
          </c:val>
          <c:smooth val="0"/>
          <c:extLst>
            <c:ext xmlns:c16="http://schemas.microsoft.com/office/drawing/2014/chart" uri="{C3380CC4-5D6E-409C-BE32-E72D297353CC}">
              <c16:uniqueId val="{00000000-B480-4A77-83A4-17E589FC335C}"/>
            </c:ext>
          </c:extLst>
        </c:ser>
        <c:ser>
          <c:idx val="1"/>
          <c:order val="1"/>
          <c:tx>
            <c:strRef>
              <c:f>Multiples!$B$56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Multiples!$Q$56:$AA$56</c:f>
            </c:numRef>
          </c:val>
          <c:smooth val="0"/>
          <c:extLst>
            <c:ext xmlns:c16="http://schemas.microsoft.com/office/drawing/2014/chart" uri="{C3380CC4-5D6E-409C-BE32-E72D297353CC}">
              <c16:uniqueId val="{00000001-B480-4A77-83A4-17E589FC3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745039"/>
        <c:axId val="1582734639"/>
      </c:lineChart>
      <c:catAx>
        <c:axId val="15827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34639"/>
        <c:crosses val="autoZero"/>
        <c:auto val="1"/>
        <c:lblAlgn val="ctr"/>
        <c:lblOffset val="100"/>
        <c:noMultiLvlLbl val="0"/>
      </c:catAx>
      <c:valAx>
        <c:axId val="15827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Multiples!$B$63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Multiples!$Q$40:$AA$40</c:f>
            </c:numRef>
          </c:cat>
          <c:val>
            <c:numRef>
              <c:f>Multiples!$Q$63:$AA$63</c:f>
            </c:numRef>
          </c:val>
          <c:extLst>
            <c:ext xmlns:c16="http://schemas.microsoft.com/office/drawing/2014/chart" uri="{C3380CC4-5D6E-409C-BE32-E72D297353CC}">
              <c16:uniqueId val="{00000000-3EEB-4A09-94FD-944E12F9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169455"/>
        <c:axId val="1442170895"/>
      </c:barChart>
      <c:catAx>
        <c:axId val="144216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70895"/>
        <c:crosses val="autoZero"/>
        <c:auto val="1"/>
        <c:lblAlgn val="ctr"/>
        <c:lblOffset val="100"/>
        <c:noMultiLvlLbl val="0"/>
      </c:catAx>
      <c:valAx>
        <c:axId val="14421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6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761999</xdr:colOff>
      <xdr:row>98</xdr:row>
      <xdr:rowOff>95250</xdr:rowOff>
    </xdr:from>
    <xdr:to>
      <xdr:col>42</xdr:col>
      <xdr:colOff>468299</xdr:colOff>
      <xdr:row>126</xdr:row>
      <xdr:rowOff>144607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2FE21C7D-392E-4D45-A8FA-34E7B37CC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294411</xdr:colOff>
      <xdr:row>89</xdr:row>
      <xdr:rowOff>19966</xdr:rowOff>
    </xdr:from>
    <xdr:to>
      <xdr:col>52</xdr:col>
      <xdr:colOff>316822</xdr:colOff>
      <xdr:row>108</xdr:row>
      <xdr:rowOff>13242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2BFF887-A157-4D01-8E2F-C6442F33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207818</xdr:colOff>
      <xdr:row>114</xdr:row>
      <xdr:rowOff>33173</xdr:rowOff>
    </xdr:from>
    <xdr:to>
      <xdr:col>17</xdr:col>
      <xdr:colOff>69273</xdr:colOff>
      <xdr:row>132</xdr:row>
      <xdr:rowOff>69272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F25DB5-5AFB-4A77-8A6B-4AE79F4D9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525658</xdr:colOff>
      <xdr:row>110</xdr:row>
      <xdr:rowOff>33616</xdr:rowOff>
    </xdr:from>
    <xdr:to>
      <xdr:col>26</xdr:col>
      <xdr:colOff>302742</xdr:colOff>
      <xdr:row>128</xdr:row>
      <xdr:rowOff>114540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0EC20C-73B0-4E15-B25B-72536E9DC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299356</xdr:colOff>
      <xdr:row>5</xdr:row>
      <xdr:rowOff>123455</xdr:rowOff>
    </xdr:from>
    <xdr:to>
      <xdr:col>43</xdr:col>
      <xdr:colOff>95249</xdr:colOff>
      <xdr:row>25</xdr:row>
      <xdr:rowOff>106137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9AB8D8AA-4D5C-49F8-9DAC-982B58838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317047</xdr:colOff>
      <xdr:row>27</xdr:row>
      <xdr:rowOff>17318</xdr:rowOff>
    </xdr:from>
    <xdr:to>
      <xdr:col>43</xdr:col>
      <xdr:colOff>54429</xdr:colOff>
      <xdr:row>45</xdr:row>
      <xdr:rowOff>129378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494A0B17-8C55-4B96-B7B3-747C5CC5A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363682</xdr:colOff>
      <xdr:row>47</xdr:row>
      <xdr:rowOff>103911</xdr:rowOff>
    </xdr:from>
    <xdr:to>
      <xdr:col>43</xdr:col>
      <xdr:colOff>34638</xdr:colOff>
      <xdr:row>65</xdr:row>
      <xdr:rowOff>103909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C9D50592-F5C3-4885-84E3-21B8660A1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291354</xdr:colOff>
      <xdr:row>24</xdr:row>
      <xdr:rowOff>34636</xdr:rowOff>
    </xdr:from>
    <xdr:to>
      <xdr:col>58</xdr:col>
      <xdr:colOff>369794</xdr:colOff>
      <xdr:row>45</xdr:row>
      <xdr:rowOff>89647</xdr:rowOff>
    </xdr:to>
    <xdr:graphicFrame macro="">
      <xdr:nvGraphicFramePr>
        <xdr:cNvPr id="9" name="Gráfico 3">
          <a:extLst>
            <a:ext uri="{FF2B5EF4-FFF2-40B4-BE49-F238E27FC236}">
              <a16:creationId xmlns:a16="http://schemas.microsoft.com/office/drawing/2014/main" id="{8A11F303-E3B3-4E97-96C5-9FEA1EF5B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288152</xdr:colOff>
      <xdr:row>47</xdr:row>
      <xdr:rowOff>58750</xdr:rowOff>
    </xdr:from>
    <xdr:to>
      <xdr:col>58</xdr:col>
      <xdr:colOff>367393</xdr:colOff>
      <xdr:row>66</xdr:row>
      <xdr:rowOff>68035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4F1D5F6-E812-4506-BA13-A0E96C7F1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95DF-440E-46BE-8EF9-32F51749748A}">
  <sheetPr>
    <pageSetUpPr fitToPage="1"/>
  </sheetPr>
  <dimension ref="B2:AF111"/>
  <sheetViews>
    <sheetView tabSelected="1" view="pageBreakPreview" zoomScale="55" zoomScaleNormal="70" zoomScaleSheetLayoutView="55" workbookViewId="0">
      <pane xSplit="2" ySplit="5" topLeftCell="I6" activePane="bottomRight" state="frozen"/>
      <selection pane="topRight" activeCell="B1" sqref="B1"/>
      <selection pane="bottomLeft" activeCell="A4" sqref="A4"/>
      <selection pane="bottomRight" activeCell="B3" sqref="B3:AE65"/>
    </sheetView>
  </sheetViews>
  <sheetFormatPr defaultColWidth="9.140625" defaultRowHeight="13.5"/>
  <cols>
    <col min="1" max="1" width="9.140625" style="4"/>
    <col min="2" max="2" width="28.42578125" style="4" bestFit="1" customWidth="1"/>
    <col min="3" max="4" width="11.7109375" style="4" hidden="1" customWidth="1"/>
    <col min="5" max="8" width="12" style="4" hidden="1" customWidth="1"/>
    <col min="9" max="27" width="8.7109375" style="4" customWidth="1"/>
    <col min="28" max="30" width="1" style="4" customWidth="1"/>
    <col min="31" max="31" width="14.7109375" style="4" customWidth="1"/>
    <col min="32" max="16384" width="9.140625" style="4"/>
  </cols>
  <sheetData>
    <row r="2" spans="2:31" ht="12.75" customHeigh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3" t="s">
        <v>2</v>
      </c>
      <c r="K2" s="3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1" ht="12.75" customHeight="1">
      <c r="B3" s="5"/>
      <c r="C3" s="6"/>
      <c r="D3" s="6"/>
      <c r="E3" s="6"/>
      <c r="F3" s="6"/>
      <c r="G3" s="6"/>
      <c r="H3" s="6"/>
      <c r="I3" s="7" t="s">
        <v>4</v>
      </c>
      <c r="J3" s="7" t="s">
        <v>5</v>
      </c>
      <c r="K3" s="7" t="s">
        <v>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2:31">
      <c r="B4" s="6"/>
      <c r="C4" s="6"/>
      <c r="D4" s="6"/>
      <c r="E4" s="6"/>
      <c r="F4" s="6"/>
      <c r="G4" s="6"/>
      <c r="H4" s="6"/>
      <c r="I4" s="8">
        <v>2982.811</v>
      </c>
      <c r="J4" s="9">
        <v>14.71</v>
      </c>
      <c r="K4" s="10">
        <f>I4*J4</f>
        <v>43877.14981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2:31">
      <c r="B5" s="11"/>
      <c r="C5" s="11"/>
      <c r="D5" s="11"/>
      <c r="E5" s="11"/>
      <c r="F5" s="11"/>
      <c r="G5" s="11"/>
      <c r="H5" s="11"/>
      <c r="I5" s="12"/>
      <c r="J5" s="13"/>
      <c r="K5" s="13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2:31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2:31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7" t="s">
        <v>7</v>
      </c>
    </row>
    <row r="8" spans="2:31">
      <c r="B8" s="18" t="s">
        <v>8</v>
      </c>
      <c r="C8" s="19">
        <v>2011</v>
      </c>
      <c r="D8" s="19">
        <v>2012</v>
      </c>
      <c r="E8" s="19">
        <v>2013</v>
      </c>
      <c r="F8" s="19">
        <v>2014</v>
      </c>
      <c r="G8" s="19">
        <v>2015</v>
      </c>
      <c r="H8" s="19">
        <v>2016</v>
      </c>
      <c r="I8" s="19">
        <v>2017</v>
      </c>
      <c r="J8" s="19">
        <v>2018</v>
      </c>
      <c r="K8" s="19">
        <v>2019</v>
      </c>
      <c r="L8" s="19">
        <v>2020</v>
      </c>
      <c r="M8" s="19">
        <v>2021</v>
      </c>
      <c r="N8" s="19">
        <v>2022</v>
      </c>
      <c r="O8" s="19">
        <v>2023</v>
      </c>
      <c r="P8" s="19">
        <v>2024</v>
      </c>
      <c r="Q8" s="19">
        <v>2025</v>
      </c>
      <c r="R8" s="19">
        <v>2026</v>
      </c>
      <c r="S8" s="19">
        <v>2027</v>
      </c>
      <c r="T8" s="19">
        <v>2028</v>
      </c>
      <c r="U8" s="19">
        <f>T8+1</f>
        <v>2029</v>
      </c>
      <c r="V8" s="19">
        <f>U8+1</f>
        <v>2030</v>
      </c>
      <c r="W8" s="19">
        <f>V8+1</f>
        <v>2031</v>
      </c>
      <c r="X8" s="19">
        <f>W8+1</f>
        <v>2032</v>
      </c>
      <c r="Y8" s="19">
        <f>X8+1</f>
        <v>2033</v>
      </c>
      <c r="Z8" s="19">
        <f>Y8+1</f>
        <v>2034</v>
      </c>
      <c r="AA8" s="19">
        <f>Z8+1</f>
        <v>2035</v>
      </c>
      <c r="AB8" s="20"/>
      <c r="AC8" s="20"/>
      <c r="AD8" s="20"/>
      <c r="AE8" s="21" t="s">
        <v>9</v>
      </c>
    </row>
    <row r="9" spans="2:31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4"/>
    </row>
    <row r="10" spans="2:31">
      <c r="B10" s="22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16"/>
    </row>
    <row r="11" spans="2:31">
      <c r="B11" s="26" t="s">
        <v>10</v>
      </c>
      <c r="C11" s="27"/>
      <c r="D11" s="27"/>
      <c r="E11" s="27"/>
      <c r="F11" s="27">
        <v>11295.713</v>
      </c>
      <c r="G11" s="27">
        <v>12471.578</v>
      </c>
      <c r="H11" s="27">
        <v>12280.086</v>
      </c>
      <c r="I11" s="27">
        <v>12768.841</v>
      </c>
      <c r="J11" s="27">
        <v>13438.187999999998</v>
      </c>
      <c r="K11" s="27">
        <v>13986.97</v>
      </c>
      <c r="L11" s="27">
        <v>14949.308</v>
      </c>
      <c r="M11" s="27">
        <v>18902.334</v>
      </c>
      <c r="N11" s="27">
        <v>17456.385</v>
      </c>
      <c r="O11" s="27">
        <v>18643.610999999997</v>
      </c>
      <c r="P11" s="27">
        <v>21551.972999999998</v>
      </c>
      <c r="Q11" s="27">
        <v>24299.142</v>
      </c>
      <c r="R11" s="27">
        <v>25271.1077</v>
      </c>
      <c r="S11" s="27">
        <v>26281.952</v>
      </c>
      <c r="T11" s="27">
        <v>27333.2301</v>
      </c>
      <c r="U11" s="27">
        <v>28426.5593</v>
      </c>
      <c r="V11" s="27">
        <v>29563.6216</v>
      </c>
      <c r="W11" s="27">
        <v>30746.1665</v>
      </c>
      <c r="X11" s="27">
        <v>31976.0132</v>
      </c>
      <c r="Y11" s="27">
        <v>33255.0537</v>
      </c>
      <c r="Z11" s="27">
        <v>34585.2558</v>
      </c>
      <c r="AA11" s="27">
        <v>35968.6661</v>
      </c>
      <c r="AB11" s="27"/>
      <c r="AC11" s="27"/>
      <c r="AD11" s="27"/>
      <c r="AE11" s="16"/>
    </row>
    <row r="12" spans="2:31" s="30" customFormat="1">
      <c r="B12" s="28" t="s">
        <v>11</v>
      </c>
      <c r="C12" s="25"/>
      <c r="D12" s="25"/>
      <c r="E12" s="25"/>
      <c r="F12" s="25">
        <f>F20</f>
        <v>2491.061</v>
      </c>
      <c r="G12" s="25">
        <f>G20</f>
        <v>2117.423</v>
      </c>
      <c r="H12" s="25">
        <f>H20</f>
        <v>2339.739</v>
      </c>
      <c r="I12" s="25">
        <f>I20</f>
        <v>2674.1043</v>
      </c>
      <c r="J12" s="25">
        <f>J20</f>
        <v>2913.139</v>
      </c>
      <c r="K12" s="25">
        <f>K20</f>
        <v>3826.785</v>
      </c>
      <c r="L12" s="25">
        <f>L20</f>
        <v>4273.472</v>
      </c>
      <c r="M12" s="25">
        <f>M20</f>
        <v>4724.3645</v>
      </c>
      <c r="N12" s="25">
        <f>N20</f>
        <v>5482.774</v>
      </c>
      <c r="O12" s="25">
        <f>O20</f>
        <v>5318.848</v>
      </c>
      <c r="P12" s="25">
        <f>P20</f>
        <v>5170.999</v>
      </c>
      <c r="Q12" s="25">
        <f>Q20</f>
        <v>5817.033</v>
      </c>
      <c r="R12" s="25">
        <f>R20</f>
        <v>6049.7143</v>
      </c>
      <c r="S12" s="25">
        <f>S20</f>
        <v>6291.7029</v>
      </c>
      <c r="T12" s="25">
        <f>T20</f>
        <v>6543.371</v>
      </c>
      <c r="U12" s="25">
        <f>U20</f>
        <v>6805.1058</v>
      </c>
      <c r="V12" s="25">
        <f>V20</f>
        <v>7077.3101</v>
      </c>
      <c r="W12" s="25">
        <f>W20</f>
        <v>7360.4025</v>
      </c>
      <c r="X12" s="25">
        <f>X20</f>
        <v>7654.8186</v>
      </c>
      <c r="Y12" s="25">
        <f>Y20</f>
        <v>7961.0113</v>
      </c>
      <c r="Z12" s="25">
        <f>Z20</f>
        <v>8279.4518</v>
      </c>
      <c r="AA12" s="25">
        <f>AA20</f>
        <v>8610.6299</v>
      </c>
      <c r="AB12" s="25"/>
      <c r="AC12" s="25"/>
      <c r="AD12" s="25"/>
      <c r="AE12" s="29"/>
    </row>
    <row r="13" spans="2:31">
      <c r="B13" s="15" t="s">
        <v>12</v>
      </c>
      <c r="C13" s="25"/>
      <c r="D13" s="27"/>
      <c r="E13" s="27"/>
      <c r="F13" s="27">
        <f>F24</f>
        <v>629.943</v>
      </c>
      <c r="G13" s="27">
        <f>G24</f>
        <v>676.472</v>
      </c>
      <c r="H13" s="27">
        <f>H24</f>
        <v>708.296</v>
      </c>
      <c r="I13" s="27">
        <f>I24</f>
        <v>558.69</v>
      </c>
      <c r="J13" s="27">
        <f>J24</f>
        <v>566.189</v>
      </c>
      <c r="K13" s="27">
        <f>K24</f>
        <v>710.279</v>
      </c>
      <c r="L13" s="27">
        <f>L24</f>
        <v>706.669</v>
      </c>
      <c r="M13" s="27">
        <f>M24</f>
        <v>740.695</v>
      </c>
      <c r="N13" s="27">
        <f>N24</f>
        <v>842.119</v>
      </c>
      <c r="O13" s="27">
        <f>O24</f>
        <v>1382.04</v>
      </c>
      <c r="P13" s="27">
        <f>P24</f>
        <v>1465.478</v>
      </c>
      <c r="Q13" s="27">
        <f>Q24</f>
        <v>1481.886</v>
      </c>
      <c r="R13" s="27">
        <f>R24</f>
        <v>1541.1614</v>
      </c>
      <c r="S13" s="27">
        <f>S24</f>
        <v>1602.8079</v>
      </c>
      <c r="T13" s="27">
        <f>T24</f>
        <v>1666.9202</v>
      </c>
      <c r="U13" s="27">
        <f>U24</f>
        <v>1733.597</v>
      </c>
      <c r="V13" s="27">
        <f>V24</f>
        <v>1802.9409</v>
      </c>
      <c r="W13" s="27">
        <f>W24</f>
        <v>1875.0585</v>
      </c>
      <c r="X13" s="27">
        <f>X24</f>
        <v>1950.0609</v>
      </c>
      <c r="Y13" s="27">
        <f>Y24</f>
        <v>2028.0633</v>
      </c>
      <c r="Z13" s="27">
        <f>Z24</f>
        <v>2109.1858</v>
      </c>
      <c r="AA13" s="27">
        <f>AA24</f>
        <v>2193.5533</v>
      </c>
      <c r="AB13" s="27"/>
      <c r="AC13" s="27"/>
      <c r="AD13" s="27"/>
      <c r="AE13" s="16"/>
    </row>
    <row r="14" spans="2:31" s="30" customFormat="1">
      <c r="B14" s="22" t="s">
        <v>13</v>
      </c>
      <c r="C14" s="25"/>
      <c r="D14" s="25"/>
      <c r="E14" s="25"/>
      <c r="F14" s="25">
        <f>F25</f>
        <v>1861.118</v>
      </c>
      <c r="G14" s="25">
        <f>G25</f>
        <v>1440.951</v>
      </c>
      <c r="H14" s="25">
        <f>H25</f>
        <v>1631.443</v>
      </c>
      <c r="I14" s="25">
        <f>I25</f>
        <v>2115.4143</v>
      </c>
      <c r="J14" s="25">
        <f>J25</f>
        <v>2346.95</v>
      </c>
      <c r="K14" s="25">
        <f>K25</f>
        <v>3116.506</v>
      </c>
      <c r="L14" s="25">
        <f>L25</f>
        <v>3566.803</v>
      </c>
      <c r="M14" s="25">
        <f>M25</f>
        <v>3983.6695</v>
      </c>
      <c r="N14" s="25">
        <f>N25</f>
        <v>4640.655</v>
      </c>
      <c r="O14" s="25">
        <f>O25</f>
        <v>3936.808</v>
      </c>
      <c r="P14" s="25">
        <f>P25</f>
        <v>3705.521</v>
      </c>
      <c r="Q14" s="25">
        <f>Q25</f>
        <v>4335.147</v>
      </c>
      <c r="R14" s="25">
        <f>R25</f>
        <v>4508.5529</v>
      </c>
      <c r="S14" s="25">
        <f>S25</f>
        <v>4688.895</v>
      </c>
      <c r="T14" s="25">
        <f>T25</f>
        <v>4876.4508</v>
      </c>
      <c r="U14" s="25">
        <f>U25</f>
        <v>5071.5088</v>
      </c>
      <c r="V14" s="25">
        <f>V25</f>
        <v>5274.3692</v>
      </c>
      <c r="W14" s="25">
        <f>W25</f>
        <v>5485.344</v>
      </c>
      <c r="X14" s="25">
        <f>X25</f>
        <v>5704.7577</v>
      </c>
      <c r="Y14" s="25">
        <f>Y25</f>
        <v>5932.948</v>
      </c>
      <c r="Z14" s="25">
        <f>Z25</f>
        <v>6170.266</v>
      </c>
      <c r="AA14" s="25">
        <f>AA25</f>
        <v>6417.0766</v>
      </c>
      <c r="AB14" s="25"/>
      <c r="AC14" s="25"/>
      <c r="AD14" s="25"/>
      <c r="AE14" s="29"/>
    </row>
    <row r="15" spans="2:31">
      <c r="B15" s="26" t="s">
        <v>14</v>
      </c>
      <c r="C15" s="27"/>
      <c r="D15" s="27"/>
      <c r="E15" s="27"/>
      <c r="F15" s="27">
        <v>147.717</v>
      </c>
      <c r="G15" s="27">
        <v>-328.671</v>
      </c>
      <c r="H15" s="27">
        <v>-565.744</v>
      </c>
      <c r="I15" s="27">
        <v>-754.217</v>
      </c>
      <c r="J15" s="27">
        <v>-230.46</v>
      </c>
      <c r="K15" s="27">
        <v>-455.364</v>
      </c>
      <c r="L15" s="27">
        <v>-78.27800000000002</v>
      </c>
      <c r="M15" s="27">
        <v>-327.3610000000001</v>
      </c>
      <c r="N15" s="27">
        <v>-2005.884</v>
      </c>
      <c r="O15" s="27">
        <v>-1204.99</v>
      </c>
      <c r="P15" s="27">
        <v>-1157.014</v>
      </c>
      <c r="Q15" s="27">
        <v>-1798.352</v>
      </c>
      <c r="R15" s="27">
        <v>-1870.2861</v>
      </c>
      <c r="S15" s="27">
        <v>-1945.0975</v>
      </c>
      <c r="T15" s="27">
        <v>-2022.9014</v>
      </c>
      <c r="U15" s="27">
        <v>-2103.8175</v>
      </c>
      <c r="V15" s="27">
        <v>-2187.9702</v>
      </c>
      <c r="W15" s="27">
        <v>-2275.489</v>
      </c>
      <c r="X15" s="27">
        <v>-2366.5085</v>
      </c>
      <c r="Y15" s="27">
        <v>-2461.1689</v>
      </c>
      <c r="Z15" s="27">
        <v>-2559.6156</v>
      </c>
      <c r="AA15" s="27">
        <v>-2662.0003</v>
      </c>
      <c r="AB15" s="27"/>
      <c r="AC15" s="27"/>
      <c r="AD15" s="27"/>
      <c r="AE15" s="16"/>
    </row>
    <row r="16" spans="2:31" s="30" customFormat="1">
      <c r="B16" s="28" t="s">
        <v>15</v>
      </c>
      <c r="C16" s="25"/>
      <c r="D16" s="25"/>
      <c r="E16" s="25"/>
      <c r="F16" s="25">
        <f>F14+F15</f>
        <v>2008.835</v>
      </c>
      <c r="G16" s="25">
        <f>G14+G15</f>
        <v>1112.28</v>
      </c>
      <c r="H16" s="25">
        <f>H14+H15</f>
        <v>1065.699</v>
      </c>
      <c r="I16" s="25">
        <f>I14+I15</f>
        <v>1361.1973</v>
      </c>
      <c r="J16" s="25">
        <f>J14+J15</f>
        <v>2116.49</v>
      </c>
      <c r="K16" s="25">
        <f>K14+K15</f>
        <v>2661.142</v>
      </c>
      <c r="L16" s="25">
        <f>L14+L15</f>
        <v>3488.525</v>
      </c>
      <c r="M16" s="25">
        <f>M14+M15</f>
        <v>3656.3085</v>
      </c>
      <c r="N16" s="25">
        <f>N14+N15</f>
        <v>2634.771</v>
      </c>
      <c r="O16" s="25">
        <f>O14+O15</f>
        <v>2731.818</v>
      </c>
      <c r="P16" s="25">
        <f>P14+P15</f>
        <v>2548.507</v>
      </c>
      <c r="Q16" s="25">
        <f>Q14+Q15</f>
        <v>2536.795</v>
      </c>
      <c r="R16" s="25">
        <f>R14+R15</f>
        <v>2638.2668</v>
      </c>
      <c r="S16" s="25">
        <f>S14+S15</f>
        <v>2743.7975</v>
      </c>
      <c r="T16" s="25">
        <f>T14+T15</f>
        <v>2853.5494</v>
      </c>
      <c r="U16" s="25">
        <f>U14+U15</f>
        <v>2967.6913</v>
      </c>
      <c r="V16" s="25">
        <f>V14+V15</f>
        <v>3086.399</v>
      </c>
      <c r="W16" s="25">
        <f>W14+W15</f>
        <v>3209.855</v>
      </c>
      <c r="X16" s="25">
        <f>X14+X15</f>
        <v>3338.2492</v>
      </c>
      <c r="Y16" s="25">
        <f>Y14+Y15</f>
        <v>3471.7791</v>
      </c>
      <c r="Z16" s="25">
        <f>Z14+Z15</f>
        <v>3610.6504</v>
      </c>
      <c r="AA16" s="25">
        <f>AA14+AA15</f>
        <v>3755.0763</v>
      </c>
      <c r="AB16" s="25"/>
      <c r="AC16" s="25"/>
      <c r="AD16" s="25"/>
      <c r="AE16" s="29"/>
    </row>
    <row r="17" spans="2:32">
      <c r="B17" s="15" t="s">
        <v>16</v>
      </c>
      <c r="C17" s="25"/>
      <c r="D17" s="27"/>
      <c r="E17" s="27"/>
      <c r="F17" s="27">
        <v>-522.0160000000001</v>
      </c>
      <c r="G17" s="27">
        <v>-532.229</v>
      </c>
      <c r="H17" s="27">
        <v>-362.3376599999999</v>
      </c>
      <c r="I17" s="27">
        <v>-274.686</v>
      </c>
      <c r="J17" s="27">
        <v>-511.993</v>
      </c>
      <c r="K17" s="27">
        <v>-639.326</v>
      </c>
      <c r="L17" s="27">
        <v>-1285.469</v>
      </c>
      <c r="M17" s="27">
        <v>-1259.632</v>
      </c>
      <c r="N17" s="27">
        <v>281.099</v>
      </c>
      <c r="O17" s="27">
        <v>-354.057</v>
      </c>
      <c r="P17" s="27">
        <v>-599.435</v>
      </c>
      <c r="Q17" s="27">
        <v>-577.618</v>
      </c>
      <c r="R17" s="27">
        <v>-600.7227</v>
      </c>
      <c r="S17" s="27">
        <v>-624.7516</v>
      </c>
      <c r="T17" s="27">
        <v>-649.7417</v>
      </c>
      <c r="U17" s="27">
        <v>-675.7314</v>
      </c>
      <c r="V17" s="27">
        <v>-702.7606</v>
      </c>
      <c r="W17" s="27">
        <v>-730.871</v>
      </c>
      <c r="X17" s="27">
        <v>-760.1059</v>
      </c>
      <c r="Y17" s="27">
        <v>-790.5101</v>
      </c>
      <c r="Z17" s="27">
        <v>-822.1305</v>
      </c>
      <c r="AA17" s="27">
        <v>-855.0157</v>
      </c>
      <c r="AB17" s="27"/>
      <c r="AC17" s="27"/>
      <c r="AD17" s="27"/>
      <c r="AE17" s="16"/>
    </row>
    <row r="18" spans="2:32">
      <c r="B18" s="22" t="s">
        <v>17</v>
      </c>
      <c r="C18" s="27"/>
      <c r="D18" s="25"/>
      <c r="E18" s="25"/>
      <c r="F18" s="25">
        <v>1486.819000000001</v>
      </c>
      <c r="G18" s="25">
        <v>580.0509999999986</v>
      </c>
      <c r="H18" s="25">
        <v>703.3613399999997</v>
      </c>
      <c r="I18" s="25">
        <v>1086.511299999999</v>
      </c>
      <c r="J18" s="25">
        <v>1604.4969999999998</v>
      </c>
      <c r="K18" s="25">
        <v>2021.8160000000007</v>
      </c>
      <c r="L18" s="25">
        <v>2203.0560000000014</v>
      </c>
      <c r="M18" s="25">
        <v>2396.6764999999964</v>
      </c>
      <c r="N18" s="25">
        <v>2915.8699999999963</v>
      </c>
      <c r="O18" s="25">
        <v>2377.7609999999977</v>
      </c>
      <c r="P18" s="25">
        <v>1949.0720000000015</v>
      </c>
      <c r="Q18" s="25">
        <v>1959.177000000001</v>
      </c>
      <c r="R18" s="25">
        <v>2037.5441</v>
      </c>
      <c r="S18" s="25">
        <v>2119.0458</v>
      </c>
      <c r="T18" s="25">
        <v>2203.8077</v>
      </c>
      <c r="U18" s="25">
        <v>2291.96</v>
      </c>
      <c r="V18" s="25">
        <v>2383.6384</v>
      </c>
      <c r="W18" s="25">
        <v>2478.9839</v>
      </c>
      <c r="X18" s="25">
        <v>2578.1433</v>
      </c>
      <c r="Y18" s="25">
        <v>2681.269</v>
      </c>
      <c r="Z18" s="25">
        <v>2788.5198</v>
      </c>
      <c r="AA18" s="25">
        <v>2900.0606</v>
      </c>
      <c r="AB18" s="25"/>
      <c r="AC18" s="25"/>
      <c r="AD18" s="25"/>
      <c r="AE18" s="29">
        <f>((V18/Q18)^(1/(V$8-Q$8)))-1</f>
        <v>0.0400000014515676</v>
      </c>
    </row>
    <row r="19" spans="2:32">
      <c r="B19" s="15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16"/>
    </row>
    <row r="20" spans="2:32" s="30" customFormat="1">
      <c r="B20" s="28" t="s">
        <v>11</v>
      </c>
      <c r="C20" s="25"/>
      <c r="D20" s="25">
        <v>1238.3830000000003</v>
      </c>
      <c r="E20" s="25">
        <v>1420.7839999999992</v>
      </c>
      <c r="F20" s="25">
        <v>2491.061000000001</v>
      </c>
      <c r="G20" s="25">
        <v>2117.422999999999</v>
      </c>
      <c r="H20" s="25">
        <v>2339.7389999999996</v>
      </c>
      <c r="I20" s="25">
        <v>2674.104299999999</v>
      </c>
      <c r="J20" s="25">
        <v>2913.1389999999997</v>
      </c>
      <c r="K20" s="25">
        <v>3826.7850000000008</v>
      </c>
      <c r="L20" s="25">
        <v>4273.472000000002</v>
      </c>
      <c r="M20" s="25">
        <v>4724.364499999996</v>
      </c>
      <c r="N20" s="25">
        <v>5482.773999999996</v>
      </c>
      <c r="O20" s="25">
        <v>5318.847999999997</v>
      </c>
      <c r="P20" s="25">
        <v>5170.999000000002</v>
      </c>
      <c r="Q20" s="25">
        <v>5817.033</v>
      </c>
      <c r="R20" s="25">
        <v>6049.7143</v>
      </c>
      <c r="S20" s="25">
        <v>6291.7029</v>
      </c>
      <c r="T20" s="25">
        <v>6543.371</v>
      </c>
      <c r="U20" s="25">
        <v>6805.1058</v>
      </c>
      <c r="V20" s="25">
        <v>7077.3101</v>
      </c>
      <c r="W20" s="25">
        <v>7360.4025</v>
      </c>
      <c r="X20" s="25">
        <v>7654.8186</v>
      </c>
      <c r="Y20" s="25">
        <v>7961.0113</v>
      </c>
      <c r="Z20" s="25">
        <v>8279.4518</v>
      </c>
      <c r="AA20" s="25">
        <v>8610.6299</v>
      </c>
      <c r="AB20" s="25"/>
      <c r="AC20" s="25"/>
      <c r="AD20" s="25"/>
      <c r="AE20" s="29">
        <f>((V20/Q20)^(1/(V$8-Q$8)))-1</f>
        <v>0.0400000005053094</v>
      </c>
    </row>
    <row r="21" spans="2:32" s="30" customFormat="1">
      <c r="B21" s="31" t="s">
        <v>18</v>
      </c>
      <c r="C21" s="25"/>
      <c r="D21" s="25"/>
      <c r="E21" s="25"/>
      <c r="F21" s="25"/>
      <c r="G21" s="25"/>
      <c r="H21" s="25"/>
      <c r="I21" s="27">
        <v>1609.2689999999996</v>
      </c>
      <c r="J21" s="27">
        <v>1644.988</v>
      </c>
      <c r="K21" s="27">
        <v>2281.135</v>
      </c>
      <c r="L21" s="27">
        <v>2584.8320000000003</v>
      </c>
      <c r="M21" s="27">
        <v>2513.761</v>
      </c>
      <c r="N21" s="27">
        <v>2747.0640000000003</v>
      </c>
      <c r="O21" s="27">
        <v>2760.013</v>
      </c>
      <c r="P21" s="27">
        <v>2820.7820000000006</v>
      </c>
      <c r="Q21" s="27">
        <v>3274.888</v>
      </c>
      <c r="R21" s="27">
        <v>3405.8835</v>
      </c>
      <c r="S21" s="27">
        <v>3542.1189</v>
      </c>
      <c r="T21" s="27">
        <v>3683.8036</v>
      </c>
      <c r="U21" s="27">
        <v>3831.1558</v>
      </c>
      <c r="V21" s="27">
        <v>3984.402</v>
      </c>
      <c r="W21" s="27">
        <v>4143.7781</v>
      </c>
      <c r="X21" s="27">
        <v>4309.5292</v>
      </c>
      <c r="Y21" s="27">
        <v>4481.9104</v>
      </c>
      <c r="Z21" s="27">
        <v>4661.1868</v>
      </c>
      <c r="AA21" s="27">
        <v>4847.6342</v>
      </c>
      <c r="AB21" s="25"/>
      <c r="AC21" s="25"/>
      <c r="AD21" s="25"/>
      <c r="AE21" s="29"/>
    </row>
    <row r="22" spans="2:32" s="30" customFormat="1">
      <c r="B22" s="31" t="s">
        <v>19</v>
      </c>
      <c r="C22" s="25"/>
      <c r="D22" s="25"/>
      <c r="E22" s="25"/>
      <c r="F22" s="25"/>
      <c r="G22" s="25"/>
      <c r="H22" s="25"/>
      <c r="I22" s="27">
        <v>573.4192999999996</v>
      </c>
      <c r="J22" s="27">
        <v>799.5499999999997</v>
      </c>
      <c r="K22" s="27">
        <v>1138.7520000000004</v>
      </c>
      <c r="L22" s="27">
        <v>1245.7410000000013</v>
      </c>
      <c r="M22" s="27">
        <v>1464.9089999999967</v>
      </c>
      <c r="N22" s="27">
        <v>1670.2049999999954</v>
      </c>
      <c r="O22" s="27">
        <v>1959.0259999999967</v>
      </c>
      <c r="P22" s="27">
        <v>2492.090999999999</v>
      </c>
      <c r="Q22" s="27">
        <v>2629.291</v>
      </c>
      <c r="R22" s="27">
        <v>2734.4626</v>
      </c>
      <c r="S22" s="27">
        <v>2843.8411</v>
      </c>
      <c r="T22" s="27">
        <v>2957.5948</v>
      </c>
      <c r="U22" s="27">
        <v>3075.8986</v>
      </c>
      <c r="V22" s="27">
        <v>3198.9345</v>
      </c>
      <c r="W22" s="27">
        <v>3326.8919</v>
      </c>
      <c r="X22" s="27">
        <v>3459.9676</v>
      </c>
      <c r="Y22" s="27">
        <v>3598.3663</v>
      </c>
      <c r="Z22" s="27">
        <v>3742.3009</v>
      </c>
      <c r="AA22" s="27">
        <v>3891.993</v>
      </c>
      <c r="AB22" s="25"/>
      <c r="AC22" s="25"/>
      <c r="AD22" s="25"/>
      <c r="AE22" s="29"/>
    </row>
    <row r="23" spans="2:32" s="30" customFormat="1">
      <c r="B23" s="31" t="s">
        <v>20</v>
      </c>
      <c r="C23" s="25"/>
      <c r="D23" s="25"/>
      <c r="E23" s="25"/>
      <c r="F23" s="25"/>
      <c r="G23" s="25"/>
      <c r="H23" s="25"/>
      <c r="I23" s="27">
        <f>I20-I21-I22</f>
        <v>491.416</v>
      </c>
      <c r="J23" s="27">
        <f>J20-J21-J22</f>
        <v>468.601</v>
      </c>
      <c r="K23" s="27">
        <f>K20-K21-K22</f>
        <v>406.898</v>
      </c>
      <c r="L23" s="27">
        <f>L20-L21-L22</f>
        <v>442.899</v>
      </c>
      <c r="M23" s="27">
        <f>M20-M21-M22</f>
        <v>745.694499999999</v>
      </c>
      <c r="N23" s="27">
        <f>N20-N21-N22</f>
        <v>1065.505</v>
      </c>
      <c r="O23" s="27">
        <f>O20-O21-O22</f>
        <v>599.809000000001</v>
      </c>
      <c r="P23" s="27">
        <f>P20-P21-P22</f>
        <v>-141.873999999998</v>
      </c>
      <c r="Q23" s="27">
        <f>Q20-Q21-Q22</f>
        <v>-87.1459999999997</v>
      </c>
      <c r="R23" s="27">
        <f>R20-R21-R22</f>
        <v>-90.6318000000001</v>
      </c>
      <c r="S23" s="27">
        <f>S20-S21-S22</f>
        <v>-94.2570999999998</v>
      </c>
      <c r="T23" s="27">
        <f>T20-T21-T22</f>
        <v>-98.0273999999999</v>
      </c>
      <c r="U23" s="27">
        <f>U20-U21-U22</f>
        <v>-101.9486</v>
      </c>
      <c r="V23" s="27">
        <f>V20-V21-V22</f>
        <v>-106.0264</v>
      </c>
      <c r="W23" s="27">
        <f>W20-W21-W22</f>
        <v>-110.2675</v>
      </c>
      <c r="X23" s="27">
        <f>X20-X21-X22</f>
        <v>-114.6782</v>
      </c>
      <c r="Y23" s="27">
        <f>Y20-Y21-Y22</f>
        <v>-119.2654</v>
      </c>
      <c r="Z23" s="27">
        <f>Z20-Z21-Z22</f>
        <v>-124.0359</v>
      </c>
      <c r="AA23" s="27">
        <f>AA20-AA21-AA22</f>
        <v>-128.9973</v>
      </c>
      <c r="AB23" s="25"/>
      <c r="AC23" s="25"/>
      <c r="AD23" s="25"/>
      <c r="AE23" s="29"/>
    </row>
    <row r="24" spans="2:32">
      <c r="B24" s="15" t="s">
        <v>12</v>
      </c>
      <c r="C24" s="27"/>
      <c r="D24" s="27">
        <v>446.668</v>
      </c>
      <c r="E24" s="27">
        <v>603.203</v>
      </c>
      <c r="F24" s="27">
        <v>629.943</v>
      </c>
      <c r="G24" s="27">
        <v>676.472</v>
      </c>
      <c r="H24" s="27">
        <v>708.296</v>
      </c>
      <c r="I24" s="27">
        <v>558.69</v>
      </c>
      <c r="J24" s="27">
        <v>566.1890000000001</v>
      </c>
      <c r="K24" s="27">
        <v>710.279</v>
      </c>
      <c r="L24" s="27">
        <v>706.669</v>
      </c>
      <c r="M24" s="27">
        <v>740.6949999999999</v>
      </c>
      <c r="N24" s="27">
        <v>842.119</v>
      </c>
      <c r="O24" s="27">
        <v>1382.04</v>
      </c>
      <c r="P24" s="27">
        <v>1465.478</v>
      </c>
      <c r="Q24" s="27">
        <v>1481.886</v>
      </c>
      <c r="R24" s="27">
        <v>1541.1614</v>
      </c>
      <c r="S24" s="27">
        <v>1602.8079</v>
      </c>
      <c r="T24" s="27">
        <v>1666.9202</v>
      </c>
      <c r="U24" s="27">
        <v>1733.597</v>
      </c>
      <c r="V24" s="27">
        <v>1802.9409</v>
      </c>
      <c r="W24" s="27">
        <v>1875.0585</v>
      </c>
      <c r="X24" s="27">
        <v>1950.0609</v>
      </c>
      <c r="Y24" s="27">
        <v>2028.0633</v>
      </c>
      <c r="Z24" s="27">
        <v>2109.1858</v>
      </c>
      <c r="AA24" s="27">
        <v>2193.5533</v>
      </c>
      <c r="AB24" s="27"/>
      <c r="AC24" s="27"/>
      <c r="AD24" s="27"/>
      <c r="AE24" s="16"/>
    </row>
    <row r="25" spans="2:32">
      <c r="B25" s="22" t="s">
        <v>13</v>
      </c>
      <c r="C25" s="25"/>
      <c r="D25" s="25">
        <f>D20-D24</f>
        <v>791.715</v>
      </c>
      <c r="E25" s="25">
        <f>E20-E24</f>
        <v>817.580999999999</v>
      </c>
      <c r="F25" s="25">
        <f>F20-F24</f>
        <v>1861.118</v>
      </c>
      <c r="G25" s="25">
        <f>G20-G24</f>
        <v>1440.951</v>
      </c>
      <c r="H25" s="25">
        <f>H20-H24</f>
        <v>1631.443</v>
      </c>
      <c r="I25" s="25">
        <f>I20-I24</f>
        <v>2115.4143</v>
      </c>
      <c r="J25" s="25">
        <f>J20-J24</f>
        <v>2346.95</v>
      </c>
      <c r="K25" s="25">
        <f>K20-K24</f>
        <v>3116.506</v>
      </c>
      <c r="L25" s="25">
        <f>L20-L24</f>
        <v>3566.803</v>
      </c>
      <c r="M25" s="25">
        <f>M20-M24</f>
        <v>3983.6695</v>
      </c>
      <c r="N25" s="25">
        <f>N20-N24</f>
        <v>4640.655</v>
      </c>
      <c r="O25" s="25">
        <f>O20-O24</f>
        <v>3936.808</v>
      </c>
      <c r="P25" s="25">
        <f>P20-P24</f>
        <v>3705.521</v>
      </c>
      <c r="Q25" s="25">
        <f>Q20-Q24</f>
        <v>4335.147</v>
      </c>
      <c r="R25" s="25">
        <f>R20-R24</f>
        <v>4508.5529</v>
      </c>
      <c r="S25" s="25">
        <f>S20-S24</f>
        <v>4688.895</v>
      </c>
      <c r="T25" s="25">
        <f>T20-T24</f>
        <v>4876.4508</v>
      </c>
      <c r="U25" s="25">
        <f>U20-U24</f>
        <v>5071.5088</v>
      </c>
      <c r="V25" s="25">
        <f>V20-V24</f>
        <v>5274.3692</v>
      </c>
      <c r="W25" s="25">
        <f>W20-W24</f>
        <v>5485.344</v>
      </c>
      <c r="X25" s="25">
        <f>X20-X24</f>
        <v>5704.7577</v>
      </c>
      <c r="Y25" s="25">
        <f>Y20-Y24</f>
        <v>5932.948</v>
      </c>
      <c r="Z25" s="25">
        <f>Z20-Z24</f>
        <v>6170.266</v>
      </c>
      <c r="AA25" s="25">
        <f>AA20-AA24</f>
        <v>6417.0766</v>
      </c>
      <c r="AB25" s="25"/>
      <c r="AC25" s="25"/>
      <c r="AD25" s="25"/>
      <c r="AE25" s="29">
        <f>((V25/Q25)^(1/(V$8-Q$8)))-1</f>
        <v>0.0400000007934265</v>
      </c>
      <c r="AF25" s="29"/>
    </row>
    <row r="26" spans="2:32">
      <c r="B26" s="1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15"/>
    </row>
    <row r="27" spans="2:32">
      <c r="B27" s="1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15"/>
    </row>
    <row r="28" spans="2:32">
      <c r="B28" s="15" t="s">
        <v>21</v>
      </c>
      <c r="C28" s="23"/>
      <c r="D28" s="23"/>
      <c r="E28" s="23"/>
      <c r="F28" s="23"/>
      <c r="G28" s="23">
        <f>G20/F20-1</f>
        <v>-0.149991509641876</v>
      </c>
      <c r="H28" s="23">
        <f>H20/G20-1</f>
        <v>0.104993664468555</v>
      </c>
      <c r="I28" s="23">
        <f>I20/H20-1</f>
        <v>0.142907093483504</v>
      </c>
      <c r="J28" s="23">
        <f>J20/I20-1</f>
        <v>0.0893886973668157</v>
      </c>
      <c r="K28" s="23">
        <f>K20/J20-1</f>
        <v>0.313629387406506</v>
      </c>
      <c r="L28" s="23">
        <f>L20/K20-1</f>
        <v>0.116726442692757</v>
      </c>
      <c r="M28" s="23">
        <f>M20/L20-1</f>
        <v>0.105509641808814</v>
      </c>
      <c r="N28" s="23">
        <f>N20/M20-1</f>
        <v>0.160531538157143</v>
      </c>
      <c r="O28" s="23">
        <f>O20/N20-1</f>
        <v>-0.0298983689643233</v>
      </c>
      <c r="P28" s="23">
        <f>P20/O20-1</f>
        <v>-0.0277971846535181</v>
      </c>
      <c r="Q28" s="23">
        <f>Q20/P20-1</f>
        <v>0.124934079468977</v>
      </c>
      <c r="R28" s="23">
        <f>R20/Q20-1</f>
        <v>0.039999996561821</v>
      </c>
      <c r="S28" s="23">
        <f>S20/R20-1</f>
        <v>0.0400000046283178</v>
      </c>
      <c r="T28" s="23">
        <f>T20/S20-1</f>
        <v>0.0399999974569683</v>
      </c>
      <c r="U28" s="23">
        <f>U20/T20-1</f>
        <v>0.0399999938869431</v>
      </c>
      <c r="V28" s="23">
        <f>V20/U20-1</f>
        <v>0.0400000099924971</v>
      </c>
      <c r="W28" s="23">
        <f>W20/V20-1</f>
        <v>0.0399999994348137</v>
      </c>
      <c r="X28" s="23">
        <f>X20/W20-1</f>
        <v>0.04</v>
      </c>
      <c r="Y28" s="23">
        <f>Y20/X20-1</f>
        <v>0.0399999942519866</v>
      </c>
      <c r="Z28" s="23">
        <f>Z20/Y20-1</f>
        <v>0.0400000060293848</v>
      </c>
      <c r="AA28" s="23">
        <f>AA20/Z20-1</f>
        <v>0.0400000033818664</v>
      </c>
      <c r="AB28" s="23"/>
      <c r="AC28" s="23"/>
      <c r="AD28" s="23"/>
      <c r="AE28" s="15"/>
    </row>
    <row r="29" spans="2:32">
      <c r="B29" s="31" t="s">
        <v>18</v>
      </c>
      <c r="C29" s="23"/>
      <c r="D29" s="23"/>
      <c r="E29" s="23"/>
      <c r="F29" s="23"/>
      <c r="G29" s="23"/>
      <c r="H29" s="23"/>
      <c r="I29" s="23"/>
      <c r="J29" s="23">
        <f>J21/I21-1</f>
        <v>0.022195792002456</v>
      </c>
      <c r="K29" s="23">
        <f>K21/J21-1</f>
        <v>0.386718322565271</v>
      </c>
      <c r="L29" s="23">
        <f>L21/K21-1</f>
        <v>0.133134163475638</v>
      </c>
      <c r="M29" s="23">
        <f>M21/L21-1</f>
        <v>-0.0274954039566209</v>
      </c>
      <c r="N29" s="23">
        <f>N21/M21-1</f>
        <v>0.0928103347931646</v>
      </c>
      <c r="O29" s="23">
        <f>O21/N21-1</f>
        <v>0.0047137598541569</v>
      </c>
      <c r="P29" s="23">
        <f>P21/O21-1</f>
        <v>0.0220176499168665</v>
      </c>
      <c r="Q29" s="23">
        <f>Q21/P21-1</f>
        <v>0.160985854277289</v>
      </c>
      <c r="R29" s="23">
        <f>R21/Q21-1</f>
        <v>0.039999993892921</v>
      </c>
      <c r="S29" s="23">
        <f>S21/R21-1</f>
        <v>0.0400000176165745</v>
      </c>
      <c r="T29" s="23">
        <f>T21/S21-1</f>
        <v>0.0399999841902541</v>
      </c>
      <c r="U29" s="23">
        <f>U21/T21-1</f>
        <v>0.0400000152016791</v>
      </c>
      <c r="V29" s="23">
        <f>V21/U21-1</f>
        <v>0.0399999916474292</v>
      </c>
      <c r="W29" s="23">
        <f>W21/V21-1</f>
        <v>0.0400000050195739</v>
      </c>
      <c r="X29" s="23">
        <f>X21/W21-1</f>
        <v>0.0399999942081839</v>
      </c>
      <c r="Y29" s="23">
        <f>Y21/X21-1</f>
        <v>0.040000007425405</v>
      </c>
      <c r="Z29" s="23">
        <f>Z21/Y21-1</f>
        <v>0.0399999964300939</v>
      </c>
      <c r="AA29" s="23">
        <f>AA21/Z21-1</f>
        <v>0.0399999845532901</v>
      </c>
      <c r="AB29" s="23"/>
      <c r="AC29" s="23"/>
      <c r="AD29" s="23"/>
      <c r="AE29" s="15"/>
    </row>
    <row r="30" spans="2:32">
      <c r="B30" s="31" t="s">
        <v>19</v>
      </c>
      <c r="C30" s="23"/>
      <c r="D30" s="23"/>
      <c r="E30" s="23"/>
      <c r="F30" s="23"/>
      <c r="G30" s="23"/>
      <c r="H30" s="23"/>
      <c r="I30" s="23"/>
      <c r="J30" s="23">
        <f>J22/I22-1</f>
        <v>0.394354881323318</v>
      </c>
      <c r="K30" s="23">
        <f>K22/J22-1</f>
        <v>0.424241135638798</v>
      </c>
      <c r="L30" s="23">
        <f>L22/K22-1</f>
        <v>0.0939528536503127</v>
      </c>
      <c r="M30" s="23">
        <f>M22/L22-1</f>
        <v>0.175933841785728</v>
      </c>
      <c r="N30" s="23">
        <f>N22/M22-1</f>
        <v>0.140142493492769</v>
      </c>
      <c r="O30" s="23">
        <f>O22/N22-1</f>
        <v>0.172925479207643</v>
      </c>
      <c r="P30" s="23">
        <f>P22/O22-1</f>
        <v>0.272107159374099</v>
      </c>
      <c r="Q30" s="23">
        <f>Q22/P22-1</f>
        <v>0.0550541693702202</v>
      </c>
      <c r="R30" s="23">
        <f>R22/Q22-1</f>
        <v>0.0399999847867731</v>
      </c>
      <c r="S30" s="23">
        <f>S22/R22-1</f>
        <v>0.0399999985371897</v>
      </c>
      <c r="T30" s="23">
        <f>T22/S22-1</f>
        <v>0.0400000196916768</v>
      </c>
      <c r="U30" s="23">
        <f>U22/T22-1</f>
        <v>0.0400000027049006</v>
      </c>
      <c r="V30" s="23">
        <f>V22/U22-1</f>
        <v>0.0399999856952371</v>
      </c>
      <c r="W30" s="23">
        <f>W22/V22-1</f>
        <v>0.0400000062520818</v>
      </c>
      <c r="X30" s="23">
        <f>X22/W22-1</f>
        <v>0.0400000072139404</v>
      </c>
      <c r="Y30" s="23">
        <f>Y22/X22-1</f>
        <v>0.0399999988439199</v>
      </c>
      <c r="Z30" s="23">
        <f>Z22/Y22-1</f>
        <v>0.0399999855489976</v>
      </c>
      <c r="AA30" s="23">
        <f>AA22/Z22-1</f>
        <v>0.0400000171017783</v>
      </c>
      <c r="AB30" s="23"/>
      <c r="AC30" s="23"/>
      <c r="AD30" s="23"/>
      <c r="AE30" s="15"/>
    </row>
    <row r="31" spans="2:32">
      <c r="B31" s="15" t="s">
        <v>22</v>
      </c>
      <c r="C31" s="23"/>
      <c r="D31" s="23"/>
      <c r="E31" s="23"/>
      <c r="F31" s="23"/>
      <c r="G31" s="23">
        <f>G18/F18-1</f>
        <v>-0.609871141006405</v>
      </c>
      <c r="H31" s="23">
        <f>H18/G18-1</f>
        <v>0.212585341633755</v>
      </c>
      <c r="I31" s="23">
        <f>I18/H18-1</f>
        <v>0.544741284756992</v>
      </c>
      <c r="J31" s="23">
        <f>J18/I18-1</f>
        <v>0.476742119479108</v>
      </c>
      <c r="K31" s="23">
        <f>K18/J18-1</f>
        <v>0.260093350127798</v>
      </c>
      <c r="L31" s="23">
        <f>L18/K18-1</f>
        <v>0.0896421830671044</v>
      </c>
      <c r="M31" s="23">
        <f>M18/L18-1</f>
        <v>0.0878872348228983</v>
      </c>
      <c r="N31" s="23">
        <f>N18/M18-1</f>
        <v>0.216630613267999</v>
      </c>
      <c r="O31" s="23">
        <f>O18/N18-1</f>
        <v>-0.18454492141282</v>
      </c>
      <c r="P31" s="23">
        <f>P18/O18-1</f>
        <v>-0.180291038502186</v>
      </c>
      <c r="Q31" s="23">
        <f>Q18/P18-1</f>
        <v>0.0051845185811501</v>
      </c>
      <c r="R31" s="23">
        <f>R18/Q18-1</f>
        <v>0.0400000102083675</v>
      </c>
      <c r="S31" s="23">
        <f>S18/R18-1</f>
        <v>0.0399999685896368</v>
      </c>
      <c r="T31" s="23">
        <f>T18/S18-1</f>
        <v>0.0400000320899152</v>
      </c>
      <c r="U31" s="23">
        <f>U18/T18-1</f>
        <v>0.0399999963699194</v>
      </c>
      <c r="V31" s="23">
        <f>V18/U18-1</f>
        <v>0.0399999999999998</v>
      </c>
      <c r="W31" s="23">
        <f>W18/V18-1</f>
        <v>0.0399999848970383</v>
      </c>
      <c r="X31" s="23">
        <f>X18/W18-1</f>
        <v>0.0400000177492077</v>
      </c>
      <c r="Y31" s="23">
        <f>Y18/X18-1</f>
        <v>0.0399999875879666</v>
      </c>
      <c r="Z31" s="23">
        <f>Z18/Y18-1</f>
        <v>0.0400000149183093</v>
      </c>
      <c r="AA31" s="23">
        <f>AA18/Z18-1</f>
        <v>0.0400000028689056</v>
      </c>
      <c r="AB31" s="23"/>
      <c r="AC31" s="23"/>
      <c r="AD31" s="23"/>
      <c r="AE31" s="15"/>
    </row>
    <row r="32" spans="2:32">
      <c r="B32" s="15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15"/>
    </row>
    <row r="33" spans="2:31">
      <c r="B33" s="15"/>
      <c r="C33" s="27"/>
      <c r="D33" s="27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15"/>
    </row>
    <row r="34" spans="2:31">
      <c r="B34" s="18" t="s">
        <v>23</v>
      </c>
      <c r="C34" s="32">
        <v>2011</v>
      </c>
      <c r="D34" s="32">
        <v>2012</v>
      </c>
      <c r="E34" s="32">
        <v>2013</v>
      </c>
      <c r="F34" s="32">
        <v>2014</v>
      </c>
      <c r="G34" s="32">
        <v>2015</v>
      </c>
      <c r="H34" s="32">
        <v>2016</v>
      </c>
      <c r="I34" s="32">
        <v>2017</v>
      </c>
      <c r="J34" s="32">
        <v>2018</v>
      </c>
      <c r="K34" s="32">
        <v>2019</v>
      </c>
      <c r="L34" s="32">
        <v>2020</v>
      </c>
      <c r="M34" s="32">
        <v>2021</v>
      </c>
      <c r="N34" s="32">
        <v>2022</v>
      </c>
      <c r="O34" s="32">
        <v>2023</v>
      </c>
      <c r="P34" s="32">
        <v>2024</v>
      </c>
      <c r="Q34" s="32">
        <f>Q8</f>
        <v>2025</v>
      </c>
      <c r="R34" s="32">
        <f>R8</f>
        <v>2026</v>
      </c>
      <c r="S34" s="32">
        <f>S8</f>
        <v>2027</v>
      </c>
      <c r="T34" s="32">
        <f>T8</f>
        <v>2028</v>
      </c>
      <c r="U34" s="32">
        <f>U8</f>
        <v>2029</v>
      </c>
      <c r="V34" s="32">
        <f>V8</f>
        <v>2030</v>
      </c>
      <c r="W34" s="32">
        <f>W8</f>
        <v>2031</v>
      </c>
      <c r="X34" s="32">
        <f>X8</f>
        <v>2032</v>
      </c>
      <c r="Y34" s="32">
        <f>Y8</f>
        <v>2033</v>
      </c>
      <c r="Z34" s="32">
        <f>Z8</f>
        <v>2034</v>
      </c>
      <c r="AA34" s="32">
        <f>AA8</f>
        <v>2035</v>
      </c>
      <c r="AB34" s="32"/>
      <c r="AC34" s="32"/>
      <c r="AD34" s="32"/>
      <c r="AE34" s="32"/>
    </row>
    <row r="35" spans="2:31">
      <c r="B35" s="15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15"/>
    </row>
    <row r="36" spans="2:31">
      <c r="B36" s="15" t="s">
        <v>24</v>
      </c>
      <c r="C36" s="23"/>
      <c r="D36" s="23"/>
      <c r="E36" s="23"/>
      <c r="F36" s="23"/>
      <c r="G36" s="23"/>
      <c r="H36" s="23"/>
      <c r="I36" s="23">
        <f>I18/I11</f>
        <v>0.0850908316580964</v>
      </c>
      <c r="J36" s="23">
        <f>J18/J11</f>
        <v>0.119398314713263</v>
      </c>
      <c r="K36" s="23">
        <f>K18/K11</f>
        <v>0.14454996328726</v>
      </c>
      <c r="L36" s="23">
        <f>L18/L11</f>
        <v>0.147368426685704</v>
      </c>
      <c r="M36" s="23">
        <f>M18/M11</f>
        <v>0.126792622540687</v>
      </c>
      <c r="N36" s="23">
        <f>N18/N11</f>
        <v>0.1670374479023</v>
      </c>
      <c r="O36" s="23">
        <f>O18/O11</f>
        <v>0.127537578422978</v>
      </c>
      <c r="P36" s="23">
        <f>P18/P11</f>
        <v>0.0904358965186158</v>
      </c>
      <c r="Q36" s="23">
        <f>Q18/Q11</f>
        <v>0.0806274147457553</v>
      </c>
      <c r="R36" s="23">
        <f>R18/R11</f>
        <v>0.0806274154733629</v>
      </c>
      <c r="S36" s="23">
        <f>S18/S11</f>
        <v>0.080627413062774</v>
      </c>
      <c r="T36" s="23">
        <f>T18/T11</f>
        <v>0.0806274154915924</v>
      </c>
      <c r="U36" s="23">
        <f>U18/U11</f>
        <v>0.0806274152215108</v>
      </c>
      <c r="V36" s="23">
        <f>V18/V11</f>
        <v>0.0806274154178729</v>
      </c>
      <c r="W36" s="23">
        <f>W18/W11</f>
        <v>0.0806274141525904</v>
      </c>
      <c r="X36" s="23">
        <f>X18/X11</f>
        <v>0.080627415427762</v>
      </c>
      <c r="Y36" s="23">
        <f>Y18/Y11</f>
        <v>0.0806274145333887</v>
      </c>
      <c r="Z36" s="23">
        <f>Z18/Z11</f>
        <v>0.0806274158018516</v>
      </c>
      <c r="AA36" s="23">
        <f>AA18/AA11</f>
        <v>0.0806274158718385</v>
      </c>
      <c r="AB36" s="23"/>
      <c r="AC36" s="23"/>
      <c r="AD36" s="23"/>
      <c r="AE36" s="15"/>
    </row>
    <row r="37" spans="2:31">
      <c r="B37" s="15" t="s">
        <v>25</v>
      </c>
      <c r="C37" s="23"/>
      <c r="D37" s="23"/>
      <c r="E37" s="23"/>
      <c r="F37" s="23"/>
      <c r="G37" s="23"/>
      <c r="H37" s="23"/>
      <c r="I37" s="23">
        <f>I20/I11</f>
        <v>0.209424199110945</v>
      </c>
      <c r="J37" s="23">
        <f>J20/J11</f>
        <v>0.216780640366097</v>
      </c>
      <c r="K37" s="23">
        <f>K20/K11</f>
        <v>0.273596425816313</v>
      </c>
      <c r="L37" s="23">
        <f>L20/L11</f>
        <v>0.285864201874762</v>
      </c>
      <c r="M37" s="23">
        <f>M20/M11</f>
        <v>0.24993551060943</v>
      </c>
      <c r="N37" s="23">
        <f>N20/N11</f>
        <v>0.314084158890858</v>
      </c>
      <c r="O37" s="23">
        <f>O20/O11</f>
        <v>0.285290655334956</v>
      </c>
      <c r="P37" s="23">
        <f>P20/P11</f>
        <v>0.239931583062024</v>
      </c>
      <c r="Q37" s="23">
        <f>Q20/Q11</f>
        <v>0.239392526699091</v>
      </c>
      <c r="R37" s="23">
        <f>R20/R11</f>
        <v>0.239392525718214</v>
      </c>
      <c r="S37" s="23">
        <f>S20/S11</f>
        <v>0.239392526856453</v>
      </c>
      <c r="T37" s="23">
        <f>T20/T11</f>
        <v>0.239392526095919</v>
      </c>
      <c r="U37" s="23">
        <f>U20/U11</f>
        <v>0.23939252472247</v>
      </c>
      <c r="V37" s="23">
        <f>V20/V11</f>
        <v>0.239392527605617</v>
      </c>
      <c r="W37" s="23">
        <f>W20/W11</f>
        <v>0.23939252719522</v>
      </c>
      <c r="X37" s="23">
        <f>X20/X11</f>
        <v>0.239392526895754</v>
      </c>
      <c r="Y37" s="23">
        <f>Y20/Y11</f>
        <v>0.23939252577421</v>
      </c>
      <c r="Z37" s="23">
        <f>Z20/Z11</f>
        <v>0.239392527494332</v>
      </c>
      <c r="AA37" s="23">
        <f>AA20/AA11</f>
        <v>0.239392527820207</v>
      </c>
      <c r="AB37" s="23"/>
      <c r="AC37" s="23"/>
      <c r="AD37" s="23"/>
      <c r="AE37" s="15"/>
    </row>
    <row r="38" spans="2:31">
      <c r="B38" s="15" t="s">
        <v>26</v>
      </c>
      <c r="C38" s="23"/>
      <c r="D38" s="23"/>
      <c r="E38" s="23"/>
      <c r="F38" s="23">
        <f>-F17/F16</f>
        <v>0.259860068148952</v>
      </c>
      <c r="G38" s="23">
        <f>-G17/G16</f>
        <v>0.478502715143669</v>
      </c>
      <c r="H38" s="23">
        <f>-H17/H16</f>
        <v>0.34</v>
      </c>
      <c r="I38" s="23">
        <f>-I17/I16</f>
        <v>0.201797344146951</v>
      </c>
      <c r="J38" s="23">
        <f>-J17/J16</f>
        <v>0.24190664732647</v>
      </c>
      <c r="K38" s="23">
        <f>-K17/K16</f>
        <v>0.240244977532202</v>
      </c>
      <c r="L38" s="23">
        <f>-L17/L16</f>
        <v>0.368484961409191</v>
      </c>
      <c r="M38" s="23">
        <f>-M17/M16</f>
        <v>0.344509222895169</v>
      </c>
      <c r="N38" s="23">
        <f>-N17/N16</f>
        <v>-0.10668820933584</v>
      </c>
      <c r="O38" s="23">
        <f>-O17/O16</f>
        <v>0.129604900472872</v>
      </c>
      <c r="P38" s="23">
        <f>-P17/P16</f>
        <v>0.235210262322214</v>
      </c>
      <c r="Q38" s="23">
        <f>-Q17/Q16</f>
        <v>0.22769597070319</v>
      </c>
      <c r="R38" s="23">
        <f>-R17/R16</f>
        <v>0.227695963122456</v>
      </c>
      <c r="S38" s="23">
        <f>-S17/S16</f>
        <v>0.227695957883189</v>
      </c>
      <c r="T38" s="23">
        <f>-T17/T16</f>
        <v>0.227695970499056</v>
      </c>
      <c r="U38" s="23">
        <f>-U17/U16</f>
        <v>0.227695987112945</v>
      </c>
      <c r="V38" s="23">
        <f>-V17/V16</f>
        <v>0.227695965427672</v>
      </c>
      <c r="W38" s="23">
        <f>-W17/W16</f>
        <v>0.227695955113237</v>
      </c>
      <c r="X38" s="23">
        <f>-X17/X16</f>
        <v>0.227695973086731</v>
      </c>
      <c r="Y38" s="23">
        <f>-Y17/Y16</f>
        <v>0.227695967177174</v>
      </c>
      <c r="Z38" s="23">
        <f>-Z17/Z16</f>
        <v>0.227695957492866</v>
      </c>
      <c r="AA38" s="23">
        <f>-AA17/AA16</f>
        <v>0.227695959200616</v>
      </c>
      <c r="AB38" s="23"/>
      <c r="AC38" s="23"/>
      <c r="AD38" s="23"/>
      <c r="AE38" s="15"/>
    </row>
    <row r="39" spans="2:31">
      <c r="B39" s="15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15"/>
    </row>
    <row r="40" spans="2:31">
      <c r="B40" s="18" t="s">
        <v>27</v>
      </c>
      <c r="C40" s="32">
        <v>2011</v>
      </c>
      <c r="D40" s="32">
        <v>2012</v>
      </c>
      <c r="E40" s="32">
        <v>2013</v>
      </c>
      <c r="F40" s="32">
        <v>2014</v>
      </c>
      <c r="G40" s="32">
        <v>2015</v>
      </c>
      <c r="H40" s="32">
        <v>2016</v>
      </c>
      <c r="I40" s="32">
        <v>2017</v>
      </c>
      <c r="J40" s="32">
        <v>2018</v>
      </c>
      <c r="K40" s="32">
        <v>2019</v>
      </c>
      <c r="L40" s="32">
        <v>2020</v>
      </c>
      <c r="M40" s="32">
        <v>2021</v>
      </c>
      <c r="N40" s="32">
        <v>2022</v>
      </c>
      <c r="O40" s="32">
        <v>2023</v>
      </c>
      <c r="P40" s="32">
        <v>2024</v>
      </c>
      <c r="Q40" s="32">
        <f>Q34</f>
        <v>2025</v>
      </c>
      <c r="R40" s="32">
        <f>R34</f>
        <v>2026</v>
      </c>
      <c r="S40" s="32">
        <f>S34</f>
        <v>2027</v>
      </c>
      <c r="T40" s="32">
        <f>T34</f>
        <v>2028</v>
      </c>
      <c r="U40" s="32">
        <f>U34</f>
        <v>2029</v>
      </c>
      <c r="V40" s="32">
        <f>V34</f>
        <v>2030</v>
      </c>
      <c r="W40" s="32">
        <f>W34</f>
        <v>2031</v>
      </c>
      <c r="X40" s="32">
        <f>X34</f>
        <v>2032</v>
      </c>
      <c r="Y40" s="32">
        <f>Y34</f>
        <v>2033</v>
      </c>
      <c r="Z40" s="32">
        <f>Z34</f>
        <v>2034</v>
      </c>
      <c r="AA40" s="32">
        <f>AA34</f>
        <v>2035</v>
      </c>
      <c r="AB40" s="32"/>
      <c r="AC40" s="32"/>
      <c r="AD40" s="32"/>
      <c r="AE40" s="32"/>
    </row>
    <row r="41" spans="2:31">
      <c r="B41" s="1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15"/>
    </row>
    <row r="42" spans="2:31">
      <c r="B42" s="15" t="s">
        <v>28</v>
      </c>
      <c r="C42" s="33"/>
      <c r="D42" s="34">
        <v>3.17</v>
      </c>
      <c r="E42" s="34">
        <v>3.0529999999999999</v>
      </c>
      <c r="F42" s="34">
        <v>3.59</v>
      </c>
      <c r="G42" s="34">
        <v>2.4300000000000002</v>
      </c>
      <c r="H42" s="34">
        <v>2.7359999999999998</v>
      </c>
      <c r="I42" s="34">
        <v>2.4950000000000001</v>
      </c>
      <c r="J42" s="34">
        <v>3.0550000000000002</v>
      </c>
      <c r="K42" s="34">
        <v>6.0069999999999997</v>
      </c>
      <c r="L42" s="34">
        <v>7.4939999999999998</v>
      </c>
      <c r="M42" s="34">
        <v>6.4</v>
      </c>
      <c r="N42" s="34">
        <f>37.21/5</f>
        <v>7.442</v>
      </c>
      <c r="O42" s="34">
        <v>10.15</v>
      </c>
      <c r="P42" s="34">
        <v>9.09</v>
      </c>
      <c r="Q42" s="34">
        <v>12.14</v>
      </c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15"/>
    </row>
    <row r="43" spans="2:31">
      <c r="B43" s="15" t="s">
        <v>29</v>
      </c>
      <c r="C43" s="35"/>
      <c r="D43" s="36">
        <v>2736.5520000000006</v>
      </c>
      <c r="E43" s="36">
        <v>2736.5520000000006</v>
      </c>
      <c r="F43" s="36">
        <v>2736.5520000000006</v>
      </c>
      <c r="G43" s="36">
        <v>2736.5520000000006</v>
      </c>
      <c r="H43" s="36">
        <v>2736.5520000000006</v>
      </c>
      <c r="I43" s="36">
        <v>2736.5520000000006</v>
      </c>
      <c r="J43" s="36">
        <v>2736.5520000000006</v>
      </c>
      <c r="K43" s="36">
        <v>2736.5520000000006</v>
      </c>
      <c r="L43" s="36">
        <v>2736.5520000000006</v>
      </c>
      <c r="M43" s="36">
        <v>2736.5520000000006</v>
      </c>
      <c r="N43" s="36">
        <f>547.3104*5</f>
        <v>2736.552</v>
      </c>
      <c r="O43" s="36">
        <v>2982.8110000000001</v>
      </c>
      <c r="P43" s="36">
        <v>2982.8110000000001</v>
      </c>
      <c r="Q43" s="36">
        <v>2982.8110000000001</v>
      </c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15"/>
    </row>
    <row r="44" spans="2:31">
      <c r="B44" s="15" t="s">
        <v>30</v>
      </c>
      <c r="C44" s="35"/>
      <c r="D44" s="35">
        <f>D43*D42</f>
        <v>8674.86984</v>
      </c>
      <c r="E44" s="35">
        <f>E43*E42</f>
        <v>8354.693256</v>
      </c>
      <c r="F44" s="35">
        <f>F43*F42</f>
        <v>9824.22168</v>
      </c>
      <c r="G44" s="35">
        <f>G43*G42</f>
        <v>6649.82136</v>
      </c>
      <c r="H44" s="35">
        <f>H43*H42</f>
        <v>7487.206272</v>
      </c>
      <c r="I44" s="35">
        <f>I43*I42</f>
        <v>6827.69724</v>
      </c>
      <c r="J44" s="35">
        <f>J43*J42</f>
        <v>8360.16636</v>
      </c>
      <c r="K44" s="35">
        <f>K43*K42</f>
        <v>16438.467864</v>
      </c>
      <c r="L44" s="35">
        <f>L43*L42</f>
        <v>20507.720688</v>
      </c>
      <c r="M44" s="35">
        <f>M43*M42</f>
        <v>17513.9328</v>
      </c>
      <c r="N44" s="35">
        <f>N43*N42</f>
        <v>20365.419984</v>
      </c>
      <c r="O44" s="35">
        <f>O43*O42</f>
        <v>30275.53165</v>
      </c>
      <c r="P44" s="35">
        <f>P43*P42</f>
        <v>27113.75199</v>
      </c>
      <c r="Q44" s="35">
        <f>Q43*Q42</f>
        <v>36211.32554</v>
      </c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15"/>
    </row>
    <row r="45" spans="2:31">
      <c r="B45" s="15"/>
      <c r="C45" s="35"/>
      <c r="D45" s="35"/>
      <c r="E45" s="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15"/>
    </row>
    <row r="46" spans="2:31">
      <c r="B46" s="15" t="s">
        <v>31</v>
      </c>
      <c r="C46" s="37"/>
      <c r="D46" s="37"/>
      <c r="E46" s="37"/>
      <c r="F46" s="37"/>
      <c r="G46" s="37">
        <f>((G43*G42)+G52)/G20</f>
        <v>5.91370187251202</v>
      </c>
      <c r="H46" s="37">
        <f>((H43*H42)+H52)/H20</f>
        <v>6.42744480132186</v>
      </c>
      <c r="I46" s="37">
        <f>((I43*I42)+I52)/I20</f>
        <v>5.83999817808154</v>
      </c>
      <c r="J46" s="37">
        <f>((J43*J42)+J52)/J20</f>
        <v>6.02214462131742</v>
      </c>
      <c r="K46" s="37">
        <f>((K43*K42)+K52)/K20</f>
        <v>6.45145203192758</v>
      </c>
      <c r="L46" s="37">
        <f>((L43*L42)+L52)/L20</f>
        <v>6.29653117839546</v>
      </c>
      <c r="M46" s="37">
        <f>((M43*M42)+M52)/M20</f>
        <v>5.3914304876349</v>
      </c>
      <c r="N46" s="37">
        <f>((N43*N42)+N52)/N20</f>
        <v>5.44441335426192</v>
      </c>
      <c r="O46" s="37">
        <f>((O43*O42)+O52)/O20</f>
        <v>7.36961982181104</v>
      </c>
      <c r="P46" s="37">
        <f>((P43*P42)+P52)/P20</f>
        <v>7.78789050046229</v>
      </c>
      <c r="Q46" s="37">
        <f>((Q43*Q42)+Q52)/Q20</f>
        <v>9.02716651942666</v>
      </c>
      <c r="R46" s="37">
        <f>($K$4+R52)/R20</f>
        <v>10.0548797502718</v>
      </c>
      <c r="S46" s="37">
        <f>($K$4+S52)/S20</f>
        <v>9.77592724697792</v>
      </c>
      <c r="T46" s="37">
        <f>($K$4+T52)/T20</f>
        <v>9.50770375239307</v>
      </c>
      <c r="U46" s="37">
        <f>($K$4+U52)/U20</f>
        <v>9.24979657333175</v>
      </c>
      <c r="V46" s="37">
        <f>($K$4+V52)/V20</f>
        <v>9.00180876771247</v>
      </c>
      <c r="W46" s="37">
        <f>($K$4+W52)/W20</f>
        <v>8.7633590432045</v>
      </c>
      <c r="X46" s="37">
        <f>($K$4+X52)/X20</f>
        <v>8.53408045619788</v>
      </c>
      <c r="Y46" s="37">
        <f>($K$4+Y52)/Y20</f>
        <v>8.31362031982042</v>
      </c>
      <c r="Z46" s="37">
        <f>($K$4+Z52)/Z20</f>
        <v>8.10163932713516</v>
      </c>
      <c r="AA46" s="37">
        <f>($K$4+AA52)/AA20</f>
        <v>7.89781147253815</v>
      </c>
      <c r="AB46" s="37"/>
      <c r="AC46" s="37"/>
      <c r="AD46" s="37"/>
      <c r="AE46" s="15"/>
    </row>
    <row r="47" spans="2:31">
      <c r="B47" s="15" t="s">
        <v>32</v>
      </c>
      <c r="C47" s="37"/>
      <c r="D47" s="37"/>
      <c r="E47" s="37"/>
      <c r="F47" s="37"/>
      <c r="G47" s="37">
        <f>G44/G18</f>
        <v>11.4642011823099</v>
      </c>
      <c r="H47" s="37">
        <f>H44/H18</f>
        <v>10.6448930957735</v>
      </c>
      <c r="I47" s="37">
        <f>I44/I18</f>
        <v>6.28405543504242</v>
      </c>
      <c r="J47" s="37">
        <f>J44/J18</f>
        <v>5.21045932775194</v>
      </c>
      <c r="K47" s="37">
        <f>K44/K18</f>
        <v>8.13054593692007</v>
      </c>
      <c r="L47" s="37">
        <f>L44/L18</f>
        <v>9.30876050722269</v>
      </c>
      <c r="M47" s="37">
        <f>M44/M18</f>
        <v>7.30759149180126</v>
      </c>
      <c r="N47" s="37">
        <f>N44/N18</f>
        <v>6.98433743068107</v>
      </c>
      <c r="O47" s="37">
        <f>O44/O18</f>
        <v>12.7327900701542</v>
      </c>
      <c r="P47" s="37">
        <f>P44/P18</f>
        <v>13.911108460847</v>
      </c>
      <c r="Q47" s="37">
        <f>Q44/Q18</f>
        <v>18.4829270351785</v>
      </c>
      <c r="R47" s="37">
        <f>$K$4/R18</f>
        <v>21.5343313599936</v>
      </c>
      <c r="S47" s="37">
        <f>$K$4/S18</f>
        <v>20.7060884715186</v>
      </c>
      <c r="T47" s="37">
        <f>$K$4/T18</f>
        <v>19.9096998390558</v>
      </c>
      <c r="U47" s="37">
        <f>$K$4/U18</f>
        <v>19.1439422197595</v>
      </c>
      <c r="V47" s="37">
        <f>$K$4/V18</f>
        <v>18.4076367497688</v>
      </c>
      <c r="W47" s="37">
        <f>$K$4/W18</f>
        <v>17.6996509779672</v>
      </c>
      <c r="X47" s="37">
        <f>$K$4/X18</f>
        <v>17.0188948806686</v>
      </c>
      <c r="Y47" s="37">
        <f>$K$4/Y18</f>
        <v>16.3643221959453</v>
      </c>
      <c r="Z47" s="37">
        <f>$K$4/Z18</f>
        <v>15.7349249626989</v>
      </c>
      <c r="AA47" s="37">
        <f>$K$4/AA18</f>
        <v>15.1297354993203</v>
      </c>
      <c r="AB47" s="37"/>
      <c r="AC47" s="37"/>
      <c r="AD47" s="37"/>
      <c r="AE47" s="15"/>
    </row>
    <row r="48" spans="2:31">
      <c r="B48" s="15" t="s">
        <v>33</v>
      </c>
      <c r="C48" s="37"/>
      <c r="D48" s="37"/>
      <c r="E48" s="37"/>
      <c r="F48" s="37"/>
      <c r="G48" s="37">
        <f>G42/G80</f>
        <v>0.496982526902917</v>
      </c>
      <c r="H48" s="37">
        <f>H42/H80</f>
        <v>0.538484376903194</v>
      </c>
      <c r="I48" s="37">
        <f>I42/I80</f>
        <v>0.47921585492589</v>
      </c>
      <c r="J48" s="37">
        <f>J42/J80</f>
        <v>0.557809025089902</v>
      </c>
      <c r="K48" s="37">
        <f>K42/K80</f>
        <v>1.01815716715994</v>
      </c>
      <c r="L48" s="37">
        <f>L42/L80</f>
        <v>1.11994896135404</v>
      </c>
      <c r="M48" s="37">
        <f>M42/M80</f>
        <v>0.874202931681533</v>
      </c>
      <c r="N48" s="37">
        <f>N42/N80</f>
        <v>1.06632518228533</v>
      </c>
      <c r="O48" s="37">
        <f>O42/O80</f>
        <v>1.36956706019937</v>
      </c>
      <c r="P48" s="37">
        <f>P42/P80</f>
        <v>1.18040490731469</v>
      </c>
      <c r="Q48" s="37">
        <f>Q42/Q80</f>
        <v>1.61089209415469</v>
      </c>
      <c r="R48" s="37">
        <f>$J$4/R80</f>
        <v>1.99726699000429</v>
      </c>
      <c r="S48" s="37">
        <f>$J$4/S80</f>
        <v>2.04672642277006</v>
      </c>
      <c r="T48" s="37">
        <f>$J$4/T80</f>
        <v>2.10083143506478</v>
      </c>
      <c r="U48" s="37">
        <f>$J$4/U80</f>
        <v>2.16022087487608</v>
      </c>
      <c r="V48" s="37">
        <f>$J$4/V80</f>
        <v>2.22565575702064</v>
      </c>
      <c r="W48" s="37">
        <f>$J$4/W80</f>
        <v>2.2980499972938</v>
      </c>
      <c r="X48" s="37">
        <f>$J$4/X80</f>
        <v>2.37851082356148</v>
      </c>
      <c r="Y48" s="37">
        <f>$J$4/Y80</f>
        <v>2.46839280470539</v>
      </c>
      <c r="Z48" s="37">
        <f>$J$4/Z80</f>
        <v>2.56937099755897</v>
      </c>
      <c r="AA48" s="37">
        <f>$J$4/AA80</f>
        <v>2.68354179838312</v>
      </c>
      <c r="AB48" s="37"/>
      <c r="AC48" s="37"/>
      <c r="AD48" s="37"/>
      <c r="AE48" s="15"/>
    </row>
    <row r="49" spans="2:31">
      <c r="B49" s="15"/>
      <c r="C49" s="37"/>
      <c r="D49" s="37"/>
      <c r="E49" s="37"/>
      <c r="F49" s="37"/>
      <c r="G49" s="38"/>
      <c r="H49" s="38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15"/>
    </row>
    <row r="50" spans="2:31">
      <c r="B50" s="15" t="s">
        <v>34</v>
      </c>
      <c r="C50" s="35"/>
      <c r="D50" s="35"/>
      <c r="E50" s="35"/>
      <c r="F50" s="35">
        <f>F14*(1-F38)</f>
        <v>1377.48774968676</v>
      </c>
      <c r="G50" s="35">
        <f>G14*(1-G38)</f>
        <v>751.452034111014</v>
      </c>
      <c r="H50" s="35">
        <f>H14*(1-H38)</f>
        <v>1076.75238</v>
      </c>
      <c r="I50" s="35">
        <f>I14*(1-I38)</f>
        <v>1688.52931248952</v>
      </c>
      <c r="J50" s="35">
        <f>J14*(1-J38)</f>
        <v>1779.20719405714</v>
      </c>
      <c r="K50" s="35">
        <f>K14*(1-K38)</f>
        <v>2367.78108605103</v>
      </c>
      <c r="L50" s="35">
        <f>L14*(1-L38)</f>
        <v>2252.48973419081</v>
      </c>
      <c r="M50" s="35">
        <f>M14*(1-M38)</f>
        <v>2611.25861628381</v>
      </c>
      <c r="N50" s="35">
        <f>N14*(1-N38)</f>
        <v>5135.75817209541</v>
      </c>
      <c r="O50" s="35">
        <f>O14*(1-O38)</f>
        <v>3426.57839097919</v>
      </c>
      <c r="P50" s="35">
        <f>P14*(1-P38)</f>
        <v>2833.94443354953</v>
      </c>
      <c r="Q50" s="35">
        <f>Q14*(1-Q38)</f>
        <v>3348.05149569398</v>
      </c>
      <c r="R50" s="35">
        <f>R14*(1-R38)</f>
        <v>3481.97360514596</v>
      </c>
      <c r="S50" s="35">
        <f>S14*(1-S38)</f>
        <v>3621.2525615613</v>
      </c>
      <c r="T50" s="35">
        <f>T14*(1-T38)</f>
        <v>3766.1026025031</v>
      </c>
      <c r="U50" s="35">
        <f>U14*(1-U38)</f>
        <v>3916.74659763201</v>
      </c>
      <c r="V50" s="35">
        <f>V14*(1-V38)</f>
        <v>4073.41661298402</v>
      </c>
      <c r="W50" s="35">
        <f>W14*(1-W38)</f>
        <v>4236.35335879534</v>
      </c>
      <c r="X50" s="35">
        <f>X14*(1-X38)</f>
        <v>4405.80734427448</v>
      </c>
      <c r="Y50" s="35">
        <f>Y14*(1-Y38)</f>
        <v>4582.03966692812</v>
      </c>
      <c r="Z50" s="35">
        <f>Z14*(1-Z38)</f>
        <v>4765.32137514432</v>
      </c>
      <c r="AA50" s="35">
        <f>AA14*(1-AA38)</f>
        <v>4955.93418829917</v>
      </c>
      <c r="AB50" s="35"/>
      <c r="AC50" s="35"/>
      <c r="AD50" s="35"/>
      <c r="AE50" s="29">
        <f>((V50/Q50)^(1/(V$8-Q$8)))-1</f>
        <v>0.0400000022142502</v>
      </c>
    </row>
    <row r="51" spans="2:31">
      <c r="B51" s="15" t="s">
        <v>35</v>
      </c>
      <c r="C51" s="35"/>
      <c r="D51" s="35"/>
      <c r="E51" s="35"/>
      <c r="F51" s="35">
        <v>18524.435</v>
      </c>
      <c r="G51" s="35">
        <v>20456.465</v>
      </c>
      <c r="H51" s="35">
        <v>22706.783</v>
      </c>
      <c r="I51" s="35">
        <f>H51+I63-I64</f>
        <v>24656.893</v>
      </c>
      <c r="J51" s="35">
        <f>I51+J63-J64</f>
        <v>27019.704</v>
      </c>
      <c r="K51" s="35">
        <f>J51+K63-K64</f>
        <v>28053.425</v>
      </c>
      <c r="L51" s="35">
        <f>K51+L63-L64</f>
        <v>29140.756</v>
      </c>
      <c r="M51" s="35">
        <f>L51+M63-M64</f>
        <v>30578.861</v>
      </c>
      <c r="N51" s="35">
        <f>M51+N63-N64</f>
        <v>32066.342</v>
      </c>
      <c r="O51" s="35">
        <f>N51+O63-O64</f>
        <v>32936.402</v>
      </c>
      <c r="P51" s="35">
        <f>O51+P63-P64</f>
        <v>33973.924</v>
      </c>
      <c r="Q51" s="35">
        <f>P51+Q63-Q64</f>
        <v>36077.738</v>
      </c>
      <c r="R51" s="35">
        <f>Q51+R63-R64</f>
        <v>38265.7046</v>
      </c>
      <c r="S51" s="35">
        <f>R51+S63-S64</f>
        <v>40541.1898</v>
      </c>
      <c r="T51" s="35">
        <f>S51+T63-T64</f>
        <v>42907.6944</v>
      </c>
      <c r="U51" s="35">
        <f>T51+U63-U64</f>
        <v>45368.8592</v>
      </c>
      <c r="V51" s="35">
        <f>U51+V63-V64</f>
        <v>47928.4706</v>
      </c>
      <c r="W51" s="35">
        <f>V51+W63-W64</f>
        <v>50590.4665</v>
      </c>
      <c r="X51" s="35">
        <f>W51+X63-X64</f>
        <v>53358.9422</v>
      </c>
      <c r="Y51" s="35">
        <f>X51+Y63-Y64</f>
        <v>56238.1569</v>
      </c>
      <c r="Z51" s="35">
        <f>Y51+Z63-Z64</f>
        <v>59232.5403</v>
      </c>
      <c r="AA51" s="35">
        <f>Z51+AA63-AA64</f>
        <v>62346.6989</v>
      </c>
      <c r="AB51" s="35"/>
      <c r="AC51" s="35"/>
      <c r="AD51" s="35"/>
      <c r="AE51" s="29">
        <f>((V51/Q51)^(1/(V$8-Q$8)))-1</f>
        <v>0.058451235276521</v>
      </c>
    </row>
    <row r="52" spans="2:31">
      <c r="B52" s="15" t="s">
        <v>36</v>
      </c>
      <c r="C52" s="35"/>
      <c r="D52" s="35">
        <v>1130.029</v>
      </c>
      <c r="E52" s="35">
        <v>2398.899</v>
      </c>
      <c r="F52" s="35">
        <v>4841.655</v>
      </c>
      <c r="G52" s="35">
        <v>5871.987</v>
      </c>
      <c r="H52" s="35">
        <v>7551.337</v>
      </c>
      <c r="I52" s="35">
        <v>8789.067</v>
      </c>
      <c r="J52" s="35">
        <v>9183.178</v>
      </c>
      <c r="K52" s="35">
        <v>8249.852</v>
      </c>
      <c r="L52" s="35">
        <v>6400.329</v>
      </c>
      <c r="M52" s="35">
        <v>7957.15</v>
      </c>
      <c r="N52" s="35">
        <v>9485.068</v>
      </c>
      <c r="O52" s="35">
        <v>8922.356</v>
      </c>
      <c r="P52" s="35">
        <v>13157.422</v>
      </c>
      <c r="Q52" s="35">
        <v>16300</v>
      </c>
      <c r="R52" s="35">
        <v>16952.0</v>
      </c>
      <c r="S52" s="35">
        <v>17630.08</v>
      </c>
      <c r="T52" s="35">
        <v>18335.2832</v>
      </c>
      <c r="U52" s="35">
        <v>19068.6945</v>
      </c>
      <c r="V52" s="35">
        <v>19831.4423</v>
      </c>
      <c r="W52" s="35">
        <v>20624.7</v>
      </c>
      <c r="X52" s="35">
        <v>21449.688</v>
      </c>
      <c r="Y52" s="35">
        <v>22307.6755</v>
      </c>
      <c r="Z52" s="35">
        <v>23199.9825</v>
      </c>
      <c r="AA52" s="35">
        <v>24127.9818</v>
      </c>
      <c r="AB52" s="35"/>
      <c r="AC52" s="35"/>
      <c r="AD52" s="35"/>
      <c r="AE52" s="29">
        <f>((V52/Q52)^(1/(V$8-Q$8)))-1</f>
        <v>0.0399999999043459</v>
      </c>
    </row>
    <row r="53" spans="2:31">
      <c r="B53" s="15" t="s">
        <v>37</v>
      </c>
      <c r="C53" s="35"/>
      <c r="D53" s="35"/>
      <c r="E53" s="35"/>
      <c r="F53" s="35">
        <v>-122.43799999999885</v>
      </c>
      <c r="G53" s="35">
        <v>-1108.177000000001</v>
      </c>
      <c r="H53" s="35">
        <v>-2163.742660000001</v>
      </c>
      <c r="I53" s="35">
        <v>-863.5987000000007</v>
      </c>
      <c r="J53" s="35">
        <v>-758.3140000000003</v>
      </c>
      <c r="K53" s="35">
        <v>988.0950000000007</v>
      </c>
      <c r="L53" s="35">
        <v>1115.7250000000013</v>
      </c>
      <c r="M53" s="35">
        <v>958.5714999999959</v>
      </c>
      <c r="N53" s="35">
        <v>1428.3889999999958</v>
      </c>
      <c r="O53" s="35">
        <v>1507.7009999999973</v>
      </c>
      <c r="P53" s="35">
        <v>911.5500000000018</v>
      </c>
      <c r="Q53" s="35">
        <v>-144.6369999999996</v>
      </c>
      <c r="R53" s="35">
        <v>-150.4225</v>
      </c>
      <c r="S53" s="35">
        <v>-156.4394</v>
      </c>
      <c r="T53" s="35">
        <v>-162.697</v>
      </c>
      <c r="U53" s="35">
        <v>-169.2048</v>
      </c>
      <c r="V53" s="35">
        <v>-175.973</v>
      </c>
      <c r="W53" s="35">
        <v>-183.0119</v>
      </c>
      <c r="X53" s="35">
        <v>-190.3324</v>
      </c>
      <c r="Y53" s="35">
        <v>-197.9457</v>
      </c>
      <c r="Z53" s="35">
        <v>-205.8636</v>
      </c>
      <c r="AA53" s="35">
        <v>-214.0981</v>
      </c>
      <c r="AB53" s="35"/>
      <c r="AC53" s="35"/>
      <c r="AD53" s="35"/>
      <c r="AE53" s="29">
        <f>((V53/Q53)^(1/(V$8-Q$8)))-1</f>
        <v>0.0399999694519011</v>
      </c>
    </row>
    <row r="54" spans="2:31">
      <c r="B54" s="15" t="s">
        <v>38</v>
      </c>
      <c r="C54" s="23"/>
      <c r="D54" s="23"/>
      <c r="E54" s="23"/>
      <c r="F54" s="23"/>
      <c r="G54" s="23">
        <f>G18/G73</f>
        <v>0.0397718039685753</v>
      </c>
      <c r="H54" s="23">
        <f>H18/H73</f>
        <v>0.0464098080650348</v>
      </c>
      <c r="I54" s="23">
        <f>I18/I73</f>
        <v>0.0699631153655626</v>
      </c>
      <c r="J54" s="23">
        <f>J18/J73</f>
        <v>0.0982171878992281</v>
      </c>
      <c r="K54" s="23">
        <f>K18/K73</f>
        <v>0.114887580624668</v>
      </c>
      <c r="L54" s="23">
        <f>L18/L73</f>
        <v>0.11037846324919</v>
      </c>
      <c r="M54" s="23">
        <f>M18/M73</f>
        <v>0.109752890320586</v>
      </c>
      <c r="N54" s="39">
        <f>N18/N73</f>
        <v>0.14006912690771</v>
      </c>
      <c r="O54" s="23">
        <f>O18/O73</f>
        <v>0.107562211632597</v>
      </c>
      <c r="P54" s="23">
        <f>P18/P73</f>
        <v>0.0848534040717856</v>
      </c>
      <c r="Q54" s="23">
        <f>Q18/Q73</f>
        <v>0.0871556810828002</v>
      </c>
      <c r="R54" s="23">
        <f>R18/R73</f>
        <v>0.0927480383121996</v>
      </c>
      <c r="S54" s="23">
        <f>S18/S73</f>
        <v>0.0988465989404685</v>
      </c>
      <c r="T54" s="23">
        <f>T18/T73</f>
        <v>0.105517986310557</v>
      </c>
      <c r="U54" s="23">
        <f>U18/U73</f>
        <v>0.112840962957274</v>
      </c>
      <c r="V54" s="23">
        <f>V18/V73</f>
        <v>0.120909369696716</v>
      </c>
      <c r="W54" s="23">
        <f>W18/W73</f>
        <v>0.129835893383121</v>
      </c>
      <c r="X54" s="23">
        <f>X18/X73</f>
        <v>0.139757066498083</v>
      </c>
      <c r="Y54" s="23">
        <f>Y18/Y73</f>
        <v>0.150839904955978</v>
      </c>
      <c r="Z54" s="23">
        <f>Z18/Z73</f>
        <v>0.163290959674095</v>
      </c>
      <c r="AA54" s="23">
        <f>AA18/AA73</f>
        <v>0.177368718607387</v>
      </c>
      <c r="AB54" s="23"/>
      <c r="AC54" s="23"/>
      <c r="AD54" s="23"/>
      <c r="AE54" s="40"/>
    </row>
    <row r="55" spans="2:31">
      <c r="B55" s="15" t="s">
        <v>39</v>
      </c>
      <c r="C55" s="23"/>
      <c r="D55" s="23"/>
      <c r="E55" s="23"/>
      <c r="F55" s="23">
        <f>F50/F51</f>
        <v>0.0743605810210546</v>
      </c>
      <c r="G55" s="23">
        <f>G50/G51</f>
        <v>0.0367342076996692</v>
      </c>
      <c r="H55" s="23">
        <f>H50/H51</f>
        <v>0.0474198559963338</v>
      </c>
      <c r="I55" s="23">
        <f>I50/I51</f>
        <v>0.0684810252650047</v>
      </c>
      <c r="J55" s="23">
        <f>J50/J51</f>
        <v>0.0658485079650444</v>
      </c>
      <c r="K55" s="23">
        <f>K50/K51</f>
        <v>0.0844025671036968</v>
      </c>
      <c r="L55" s="23">
        <f>L50/L51</f>
        <v>0.0772968873625246</v>
      </c>
      <c r="M55" s="23">
        <f>M50/M51</f>
        <v>0.0853942406907769</v>
      </c>
      <c r="N55" s="23">
        <f>N50/N51</f>
        <v>0.160160400338006</v>
      </c>
      <c r="O55" s="23">
        <f>O50/O51</f>
        <v>0.104036208659926</v>
      </c>
      <c r="P55" s="23">
        <f>P50/P51</f>
        <v>0.0834152814832201</v>
      </c>
      <c r="Q55" s="23">
        <f>Q50/Q51</f>
        <v>0.0928010369079674</v>
      </c>
      <c r="R55" s="23">
        <f>R50/R51</f>
        <v>0.090994629304329</v>
      </c>
      <c r="S55" s="23">
        <f>S50/S51</f>
        <v>0.0893227993412592</v>
      </c>
      <c r="T55" s="23">
        <f>T50/T51</f>
        <v>0.0877721969256661</v>
      </c>
      <c r="U55" s="23">
        <f>U50/U51</f>
        <v>0.0863311678251767</v>
      </c>
      <c r="V55" s="23">
        <f>V50/V51</f>
        <v>0.0849894970982868</v>
      </c>
      <c r="W55" s="23">
        <f>W50/W51</f>
        <v>0.0837381754286716</v>
      </c>
      <c r="X55" s="23">
        <f>X50/X51</f>
        <v>0.0825692407424539</v>
      </c>
      <c r="Y55" s="23">
        <f>Y50/Y51</f>
        <v>0.0814756371741642</v>
      </c>
      <c r="Z55" s="23">
        <f>Z50/Z51</f>
        <v>0.080451072181085</v>
      </c>
      <c r="AA55" s="23">
        <f>AA50/AA51</f>
        <v>0.0794899212907513</v>
      </c>
      <c r="AB55" s="23"/>
      <c r="AC55" s="23"/>
      <c r="AD55" s="23"/>
      <c r="AE55" s="15"/>
    </row>
    <row r="56" spans="2:31">
      <c r="B56" s="15" t="s">
        <v>40</v>
      </c>
      <c r="C56" s="41"/>
      <c r="D56" s="41"/>
      <c r="E56" s="41"/>
      <c r="F56" s="41"/>
      <c r="G56" s="41"/>
      <c r="H56" s="23">
        <f>H53/$K$4</f>
        <v>-0.0493136557267187</v>
      </c>
      <c r="I56" s="23">
        <f>I53/$K$4</f>
        <v>-0.0196821968550742</v>
      </c>
      <c r="J56" s="23">
        <f>J53/$K$4</f>
        <v>-0.0172826631466197</v>
      </c>
      <c r="K56" s="23">
        <f>K53/$K$4</f>
        <v>0.0225195803346097</v>
      </c>
      <c r="L56" s="23">
        <f>L53/$K$4</f>
        <v>0.0254283836765012</v>
      </c>
      <c r="M56" s="23">
        <f>M53/$K$4</f>
        <v>0.0218467130192109</v>
      </c>
      <c r="N56" s="42">
        <f>N53/$K$4</f>
        <v>0.032554279532406</v>
      </c>
      <c r="O56" s="23">
        <f>O53/$K$4</f>
        <v>0.0343618718747401</v>
      </c>
      <c r="P56" s="23">
        <f>P53/$K$4</f>
        <v>0.0207750504293752</v>
      </c>
      <c r="Q56" s="23">
        <f>Q53/$K$4</f>
        <v>-0.00329640828144757</v>
      </c>
      <c r="R56" s="23">
        <f>R53/$K$4</f>
        <v>-0.0034282650685236</v>
      </c>
      <c r="S56" s="23">
        <f>S53/$K$4</f>
        <v>-0.00356539567126455</v>
      </c>
      <c r="T56" s="23">
        <f>T53/$K$4</f>
        <v>-0.00370801204509687</v>
      </c>
      <c r="U56" s="23">
        <f>U53/$K$4</f>
        <v>-0.00385633070362826</v>
      </c>
      <c r="V56" s="23">
        <f>V53/$K$4</f>
        <v>-0.00401058411410064</v>
      </c>
      <c r="W56" s="23">
        <f>W53/$K$4</f>
        <v>-0.00417100702284655</v>
      </c>
      <c r="X56" s="23">
        <f>X53/$K$4</f>
        <v>-0.00433784785074215</v>
      </c>
      <c r="Y56" s="23">
        <f>Y53/$K$4</f>
        <v>-0.00451136185593546</v>
      </c>
      <c r="Z56" s="23">
        <f>Z53/$K$4</f>
        <v>-0.00469181797111812</v>
      </c>
      <c r="AA56" s="23">
        <f>AA53/$K$4</f>
        <v>-0.00487948968716298</v>
      </c>
      <c r="AB56" s="23"/>
      <c r="AC56" s="23"/>
      <c r="AD56" s="23"/>
      <c r="AE56" s="15"/>
    </row>
    <row r="57" spans="2:31">
      <c r="B57" s="15" t="s">
        <v>41</v>
      </c>
      <c r="C57" s="43"/>
      <c r="D57" s="43">
        <f>D52/D20</f>
        <v>0.91250364386462</v>
      </c>
      <c r="E57" s="43">
        <f>E52/E20</f>
        <v>1.68843328753702</v>
      </c>
      <c r="F57" s="43">
        <f>F52/F20</f>
        <v>1.94361157755671</v>
      </c>
      <c r="G57" s="43">
        <f>G52/G20</f>
        <v>2.77317616744505</v>
      </c>
      <c r="H57" s="43">
        <f>H52/H20</f>
        <v>3.22742707626791</v>
      </c>
      <c r="I57" s="43">
        <f>I52/I20</f>
        <v>3.28673305674726</v>
      </c>
      <c r="J57" s="43">
        <f>J52/J20</f>
        <v>3.15233087058324</v>
      </c>
      <c r="K57" s="43">
        <f>K52/K20</f>
        <v>2.15581800388577</v>
      </c>
      <c r="L57" s="43">
        <f>L52/L20</f>
        <v>1.49768829654201</v>
      </c>
      <c r="M57" s="43">
        <f>M52/M20</f>
        <v>1.68427944118198</v>
      </c>
      <c r="N57" s="43">
        <f>N52/N20</f>
        <v>1.72997610333747</v>
      </c>
      <c r="O57" s="43">
        <f>O52/O20</f>
        <v>1.67749783411746</v>
      </c>
      <c r="P57" s="43">
        <f>P52/P20</f>
        <v>2.54446423215321</v>
      </c>
      <c r="Q57" s="43">
        <f>Q52/Q20</f>
        <v>2.80211578651866</v>
      </c>
      <c r="R57" s="43">
        <f>R52/R20</f>
        <v>2.80211579578229</v>
      </c>
      <c r="S57" s="43">
        <f>S52/S20</f>
        <v>2.80211578331202</v>
      </c>
      <c r="T57" s="43">
        <f>T52/T20</f>
        <v>2.80211579016382</v>
      </c>
      <c r="U57" s="43">
        <f>U52/U20</f>
        <v>2.80211580251993</v>
      </c>
      <c r="V57" s="43">
        <f>V52/V20</f>
        <v>2.80211577842265</v>
      </c>
      <c r="W57" s="43">
        <f>W52/W20</f>
        <v>2.80211578103236</v>
      </c>
      <c r="X57" s="43">
        <f>X52/X20</f>
        <v>2.80211578103236</v>
      </c>
      <c r="Y57" s="43">
        <f>Y52/Y20</f>
        <v>2.80211579400723</v>
      </c>
      <c r="Z57" s="43">
        <f>Z52/Z20</f>
        <v>2.80211577534638</v>
      </c>
      <c r="AA57" s="43">
        <f>AA52/AA20</f>
        <v>2.80211576623448</v>
      </c>
      <c r="AB57" s="43"/>
      <c r="AC57" s="43"/>
      <c r="AD57" s="43"/>
      <c r="AE57" s="15"/>
    </row>
    <row r="58" spans="2:31">
      <c r="B58" s="15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15"/>
    </row>
    <row r="59" spans="2:31">
      <c r="B59" s="15" t="s">
        <v>42</v>
      </c>
      <c r="C59" s="23"/>
      <c r="D59" s="23"/>
      <c r="E59" s="23"/>
      <c r="F59" s="23"/>
      <c r="G59" s="23">
        <v>0.51551440205647</v>
      </c>
      <c r="H59" s="23">
        <v>0.2569065313968457</v>
      </c>
      <c r="I59" s="23">
        <f>I74/I18</f>
        <v>0.465031034062877</v>
      </c>
      <c r="J59" s="23">
        <f>J74/J18</f>
        <v>0.165191608391913</v>
      </c>
      <c r="K59" s="23">
        <f>K74/K18</f>
        <v>0.318030918738401</v>
      </c>
      <c r="L59" s="23">
        <f>L74/L18</f>
        <v>1.14623731761698</v>
      </c>
      <c r="M59" s="23">
        <f>M74/M18</f>
        <v>1.28870124941769</v>
      </c>
      <c r="N59" s="23">
        <f>N74/N18</f>
        <v>0.772256650673728</v>
      </c>
      <c r="O59" s="23">
        <f>O74/O18</f>
        <v>0.458082624788615</v>
      </c>
      <c r="P59" s="23">
        <f>P74/P18</f>
        <v>0.556732639943522</v>
      </c>
      <c r="Q59" s="23">
        <f>Q74/Q18</f>
        <v>1.25052509293443</v>
      </c>
      <c r="R59" s="23">
        <f>R74/R18</f>
        <v>1.2505250806596</v>
      </c>
      <c r="S59" s="23">
        <f>S74/S18</f>
        <v>1.2505251184283</v>
      </c>
      <c r="T59" s="23">
        <f>T74/T18</f>
        <v>1.25052507984249</v>
      </c>
      <c r="U59" s="23">
        <f>U74/U18</f>
        <v>1.25052509642402</v>
      </c>
      <c r="V59" s="23">
        <f>V74/V18</f>
        <v>1.25052507964295</v>
      </c>
      <c r="W59" s="23">
        <f>W74/W18</f>
        <v>1.25052510425743</v>
      </c>
      <c r="X59" s="23">
        <f>X74/X18</f>
        <v>1.25052509687883</v>
      </c>
      <c r="Y59" s="23">
        <f>Y74/Y18</f>
        <v>1.25052510583608</v>
      </c>
      <c r="Z59" s="23">
        <f>Z74/Z18</f>
        <v>1.25052506351219</v>
      </c>
      <c r="AA59" s="23">
        <f>AA74/AA18</f>
        <v>1.25052507523463</v>
      </c>
      <c r="AB59" s="23"/>
      <c r="AC59" s="23"/>
      <c r="AD59" s="23"/>
      <c r="AE59" s="15"/>
    </row>
    <row r="60" spans="2:31">
      <c r="B60" s="15" t="s">
        <v>43</v>
      </c>
      <c r="C60" s="41"/>
      <c r="D60" s="41"/>
      <c r="E60" s="41"/>
      <c r="F60" s="41"/>
      <c r="G60" s="23">
        <f>G75/G42</f>
        <v>0.0857705302601481</v>
      </c>
      <c r="H60" s="23">
        <f>H75/H42</f>
        <v>0.0399338560893209</v>
      </c>
      <c r="I60" s="23">
        <f>I75/I42</f>
        <v>0.0678922025435478</v>
      </c>
      <c r="J60" s="23">
        <f>J75/J42</f>
        <v>0.0290863978728013</v>
      </c>
      <c r="K60" s="23">
        <f>K75/K42</f>
        <v>0.0358862108878676</v>
      </c>
      <c r="L60" s="23">
        <f>L75/L42</f>
        <v>0.112969356643245</v>
      </c>
      <c r="M60" s="23">
        <f>M75/$J$4</f>
        <v>0.0703919924920939</v>
      </c>
      <c r="N60" s="23">
        <f>N75/$J$4</f>
        <v>0.0513205622915551</v>
      </c>
      <c r="O60" s="23">
        <f>O75/$J$4</f>
        <v>0.0248241055929243</v>
      </c>
      <c r="P60" s="23">
        <f>P75/$J$4</f>
        <v>0.0247306856689377</v>
      </c>
      <c r="Q60" s="23">
        <f>Q75/$J$4</f>
        <v>0.0558377198749045</v>
      </c>
      <c r="R60" s="23">
        <f>R75/$J$4</f>
        <v>0.0580712286699007</v>
      </c>
      <c r="S60" s="23">
        <f>S75/$J$4</f>
        <v>0.0603940778166967</v>
      </c>
      <c r="T60" s="23">
        <f>T75/$J$4</f>
        <v>0.0628098409293646</v>
      </c>
      <c r="U60" s="23">
        <f>U75/$J$4</f>
        <v>0.0653222352046845</v>
      </c>
      <c r="V60" s="23">
        <f>V75/$J$4</f>
        <v>0.0679351237012357</v>
      </c>
      <c r="W60" s="23">
        <f>W75/$J$4</f>
        <v>0.0706525290139396</v>
      </c>
      <c r="X60" s="23">
        <f>X75/$J$4</f>
        <v>0.0734786309949698</v>
      </c>
      <c r="Y60" s="23">
        <f>Y75/$J$4</f>
        <v>0.0764177758701141</v>
      </c>
      <c r="Z60" s="23">
        <f>Z75/$J$4</f>
        <v>0.079474485355137</v>
      </c>
      <c r="AA60" s="23">
        <f>AA75/$J$4</f>
        <v>0.0826534657721424</v>
      </c>
      <c r="AB60" s="23"/>
      <c r="AC60" s="23"/>
      <c r="AD60" s="23"/>
      <c r="AE60" s="15"/>
    </row>
    <row r="61" spans="2:31" s="45" customFormat="1">
      <c r="B61" s="44" t="s">
        <v>44</v>
      </c>
      <c r="C61" s="35"/>
      <c r="D61" s="35"/>
      <c r="E61" s="35"/>
      <c r="F61" s="35"/>
      <c r="G61" s="35"/>
      <c r="H61" s="35"/>
      <c r="I61" s="35">
        <f>I74</f>
        <v>505.26147336</v>
      </c>
      <c r="J61" s="35">
        <f>J74</f>
        <v>265.04944009</v>
      </c>
      <c r="K61" s="35">
        <f>K74</f>
        <v>643</v>
      </c>
      <c r="L61" s="35">
        <f>L74</f>
        <v>2525.225</v>
      </c>
      <c r="M61" s="35">
        <f>M74</f>
        <v>3088.6</v>
      </c>
      <c r="N61" s="35">
        <f>N74</f>
        <v>2251.8</v>
      </c>
      <c r="O61" s="35">
        <f>O74</f>
        <v>1089.211</v>
      </c>
      <c r="P61" s="35">
        <f>P74</f>
        <v>1085.112</v>
      </c>
      <c r="Q61" s="35">
        <f>Q74</f>
        <v>2450</v>
      </c>
      <c r="R61" s="35">
        <f>R74</f>
        <v>2548</v>
      </c>
      <c r="S61" s="35">
        <f>S74</f>
        <v>2649.92</v>
      </c>
      <c r="T61" s="35">
        <f>T74</f>
        <v>2755.9168</v>
      </c>
      <c r="U61" s="35">
        <f>U74</f>
        <v>2866.1535</v>
      </c>
      <c r="V61" s="35">
        <f>V74</f>
        <v>2980.7996</v>
      </c>
      <c r="W61" s="35">
        <f>W74</f>
        <v>3100.0316</v>
      </c>
      <c r="X61" s="35">
        <f>X74</f>
        <v>3224.0329</v>
      </c>
      <c r="Y61" s="35">
        <f>Y74</f>
        <v>3352.9942</v>
      </c>
      <c r="Z61" s="35">
        <f>Z74</f>
        <v>3487.1139</v>
      </c>
      <c r="AA61" s="35">
        <f>AA74</f>
        <v>3626.5985</v>
      </c>
      <c r="AB61" s="35"/>
      <c r="AC61" s="35"/>
      <c r="AD61" s="35"/>
      <c r="AE61" s="29">
        <f>((V61/Q61)^(1/(V$8-Q$8)))-1</f>
        <v>0.0399999992407942</v>
      </c>
    </row>
    <row r="62" spans="2:31">
      <c r="B62" s="15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15"/>
    </row>
    <row r="63" spans="2:31">
      <c r="B63" s="15" t="s">
        <v>45</v>
      </c>
      <c r="C63" s="35"/>
      <c r="D63" s="35"/>
      <c r="E63" s="35"/>
      <c r="F63" s="35"/>
      <c r="G63" s="35">
        <v>2364.7</v>
      </c>
      <c r="H63" s="35">
        <v>3575.4</v>
      </c>
      <c r="I63" s="35">
        <v>2508.7999999999997</v>
      </c>
      <c r="J63" s="35">
        <v>2929</v>
      </c>
      <c r="K63" s="35">
        <v>1744</v>
      </c>
      <c r="L63" s="35">
        <v>1794</v>
      </c>
      <c r="M63" s="35">
        <v>2178.8</v>
      </c>
      <c r="N63" s="35">
        <v>2329.6</v>
      </c>
      <c r="O63" s="35">
        <v>2252.1</v>
      </c>
      <c r="P63" s="35">
        <v>2503</v>
      </c>
      <c r="Q63" s="35">
        <v>3585.7</v>
      </c>
      <c r="R63" s="35">
        <v>3729.128</v>
      </c>
      <c r="S63" s="35">
        <v>3878.2931</v>
      </c>
      <c r="T63" s="35">
        <v>4033.4248</v>
      </c>
      <c r="U63" s="35">
        <v>4194.7618</v>
      </c>
      <c r="V63" s="35">
        <v>4362.5523</v>
      </c>
      <c r="W63" s="35">
        <v>4537.0544</v>
      </c>
      <c r="X63" s="35">
        <v>4718.5366</v>
      </c>
      <c r="Y63" s="35">
        <v>4907.278</v>
      </c>
      <c r="Z63" s="35">
        <v>5103.5692</v>
      </c>
      <c r="AA63" s="35">
        <v>5307.7119</v>
      </c>
      <c r="AB63" s="35"/>
      <c r="AC63" s="35"/>
      <c r="AD63" s="35"/>
      <c r="AE63" s="29">
        <f>((V63/Q63)^(1/(V$8-Q$8)))-1</f>
        <v>0.0399999994213889</v>
      </c>
    </row>
    <row r="64" spans="2:31">
      <c r="B64" s="15" t="s">
        <v>12</v>
      </c>
      <c r="C64" s="35"/>
      <c r="D64" s="35"/>
      <c r="E64" s="35"/>
      <c r="F64" s="35"/>
      <c r="G64" s="35">
        <f>G24</f>
        <v>676.472</v>
      </c>
      <c r="H64" s="35">
        <f>H24</f>
        <v>708.296</v>
      </c>
      <c r="I64" s="35">
        <f>I24</f>
        <v>558.69</v>
      </c>
      <c r="J64" s="35">
        <f>J24</f>
        <v>566.189</v>
      </c>
      <c r="K64" s="35">
        <f>K24</f>
        <v>710.279</v>
      </c>
      <c r="L64" s="35">
        <f>L24</f>
        <v>706.669</v>
      </c>
      <c r="M64" s="35">
        <f>M24</f>
        <v>740.695</v>
      </c>
      <c r="N64" s="35">
        <f>N24</f>
        <v>842.119</v>
      </c>
      <c r="O64" s="35">
        <f>O24</f>
        <v>1382.04</v>
      </c>
      <c r="P64" s="35">
        <f>P24</f>
        <v>1465.478</v>
      </c>
      <c r="Q64" s="35">
        <f>Q24</f>
        <v>1481.886</v>
      </c>
      <c r="R64" s="35">
        <f>R24</f>
        <v>1541.1614</v>
      </c>
      <c r="S64" s="35">
        <f>S24</f>
        <v>1602.8079</v>
      </c>
      <c r="T64" s="35">
        <f>T24</f>
        <v>1666.9202</v>
      </c>
      <c r="U64" s="35">
        <f>U24</f>
        <v>1733.597</v>
      </c>
      <c r="V64" s="35">
        <f>V24</f>
        <v>1802.9409</v>
      </c>
      <c r="W64" s="35">
        <f>W24</f>
        <v>1875.0585</v>
      </c>
      <c r="X64" s="35">
        <f>X24</f>
        <v>1950.0609</v>
      </c>
      <c r="Y64" s="35">
        <f>Y24</f>
        <v>2028.0633</v>
      </c>
      <c r="Z64" s="35">
        <f>Z24</f>
        <v>2109.1858</v>
      </c>
      <c r="AA64" s="35">
        <f>AA24</f>
        <v>2193.5533</v>
      </c>
      <c r="AB64" s="35"/>
      <c r="AC64" s="35"/>
      <c r="AD64" s="35"/>
      <c r="AE64" s="15"/>
    </row>
    <row r="65" spans="2:31">
      <c r="B65" s="15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15"/>
    </row>
    <row r="66" spans="2:31">
      <c r="B66" s="15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15"/>
    </row>
    <row r="67" spans="2:31">
      <c r="B67" s="15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spans="2:31">
      <c r="B68" s="15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spans="2:31">
      <c r="B69" s="15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3" spans="2:31">
      <c r="B73" s="4" t="s">
        <v>46</v>
      </c>
      <c r="G73" s="45">
        <v>14584.478</v>
      </c>
      <c r="H73" s="45">
        <v>15155.446</v>
      </c>
      <c r="I73" s="45">
        <v>15529.773</v>
      </c>
      <c r="J73" s="45">
        <v>16336.214</v>
      </c>
      <c r="K73" s="45">
        <v>17598.212</v>
      </c>
      <c r="L73" s="45">
        <v>19959.111</v>
      </c>
      <c r="M73" s="45">
        <v>21837.024</v>
      </c>
      <c r="N73" s="45">
        <v>20817.364</v>
      </c>
      <c r="O73" s="45">
        <f>N73-O74+O18</f>
        <v>22105.914</v>
      </c>
      <c r="P73" s="45">
        <f>O73-P74+P18</f>
        <v>22969.874</v>
      </c>
      <c r="Q73" s="45">
        <f>P73-Q74+Q18</f>
        <v>22479.051</v>
      </c>
      <c r="R73" s="45">
        <f>Q73-R74+R18</f>
        <v>21968.5951</v>
      </c>
      <c r="S73" s="45">
        <f>R73-S74+S18</f>
        <v>21437.7209</v>
      </c>
      <c r="T73" s="45">
        <f>S73-T74+T18</f>
        <v>20885.6118</v>
      </c>
      <c r="U73" s="45">
        <f>T73-U74+U18</f>
        <v>20311.4183</v>
      </c>
      <c r="V73" s="45">
        <f>U73-V74+V18</f>
        <v>19714.2571</v>
      </c>
      <c r="W73" s="45">
        <f>V73-W74+W18</f>
        <v>19093.2094</v>
      </c>
      <c r="X73" s="45">
        <f>W73-X74+X18</f>
        <v>18447.3198</v>
      </c>
      <c r="Y73" s="45">
        <f>X73-Y74+Y18</f>
        <v>17775.5946</v>
      </c>
      <c r="Z73" s="45">
        <f>Y73-Z74+Z18</f>
        <v>17077.0005</v>
      </c>
      <c r="AA73" s="45">
        <f>Z73-AA74+AA18</f>
        <v>16350.4626</v>
      </c>
    </row>
    <row r="74" spans="2:31">
      <c r="B74" s="4" t="s">
        <v>44</v>
      </c>
      <c r="G74" s="45">
        <v>621.6845931600001</v>
      </c>
      <c r="H74" s="45">
        <v>325.89903731000004</v>
      </c>
      <c r="I74" s="45">
        <v>505.26147336</v>
      </c>
      <c r="J74" s="45">
        <v>265.04944008999996</v>
      </c>
      <c r="K74" s="45">
        <v>643</v>
      </c>
      <c r="L74" s="45">
        <v>2525.2250000000004</v>
      </c>
      <c r="M74" s="45">
        <v>3088.6000000000004</v>
      </c>
      <c r="N74" s="45">
        <v>2251.8</v>
      </c>
      <c r="O74" s="45">
        <f>O77</f>
        <v>1089.211</v>
      </c>
      <c r="P74" s="45">
        <f>P77</f>
        <v>1085.112</v>
      </c>
      <c r="Q74" s="45">
        <f>Q77</f>
        <v>2450</v>
      </c>
      <c r="R74" s="45">
        <f>R77</f>
        <v>2548</v>
      </c>
      <c r="S74" s="45">
        <f>S77</f>
        <v>2649.92</v>
      </c>
      <c r="T74" s="45">
        <f>T77</f>
        <v>2755.9168</v>
      </c>
      <c r="U74" s="45">
        <f>U77</f>
        <v>2866.1535</v>
      </c>
      <c r="V74" s="45">
        <f>V77</f>
        <v>2980.7996</v>
      </c>
      <c r="W74" s="45">
        <f>W77</f>
        <v>3100.0316</v>
      </c>
      <c r="X74" s="45">
        <f>X77</f>
        <v>3224.0329</v>
      </c>
      <c r="Y74" s="45">
        <f>Y77</f>
        <v>3352.9942</v>
      </c>
      <c r="Z74" s="45">
        <f>Z77</f>
        <v>3487.1139</v>
      </c>
      <c r="AA74" s="45">
        <f>AA77</f>
        <v>3626.5985</v>
      </c>
    </row>
    <row r="75" spans="2:31">
      <c r="B75" s="4" t="s">
        <v>47</v>
      </c>
      <c r="G75" s="46">
        <f>G74/$I$4</f>
        <v>0.20842238853216</v>
      </c>
      <c r="H75" s="46">
        <f>H74/$I$4</f>
        <v>0.109259030260382</v>
      </c>
      <c r="I75" s="46">
        <f>I74/$I$4</f>
        <v>0.169391045346152</v>
      </c>
      <c r="J75" s="46">
        <f>J74/$I$4</f>
        <v>0.0888589455014079</v>
      </c>
      <c r="K75" s="46">
        <f>K74/$I$4</f>
        <v>0.215568468803421</v>
      </c>
      <c r="L75" s="46">
        <f>L74/$I$4</f>
        <v>0.846592358684476</v>
      </c>
      <c r="M75" s="46">
        <f>M74/$I$4</f>
        <v>1.0354662095587</v>
      </c>
      <c r="N75" s="46">
        <f>N74/$I$4</f>
        <v>0.754925471308776</v>
      </c>
      <c r="O75" s="46">
        <f>O74/$I$4</f>
        <v>0.365162593271917</v>
      </c>
      <c r="P75" s="46">
        <f>P74/$Q$43</f>
        <v>0.363788386190074</v>
      </c>
      <c r="Q75" s="46">
        <f>Q74/$Q$43</f>
        <v>0.821372859359845</v>
      </c>
      <c r="R75" s="46">
        <f>R74/$I$4</f>
        <v>0.854227773734239</v>
      </c>
      <c r="S75" s="46">
        <f>S74/$I$4</f>
        <v>0.888396884683609</v>
      </c>
      <c r="T75" s="46">
        <f>T74/$I$4</f>
        <v>0.923932760070953</v>
      </c>
      <c r="U75" s="46">
        <f>U74/$I$4</f>
        <v>0.96089007986091</v>
      </c>
      <c r="V75" s="46">
        <f>V74/$I$4</f>
        <v>0.999325669645177</v>
      </c>
      <c r="W75" s="46">
        <f>W74/$I$4</f>
        <v>1.03929870179505</v>
      </c>
      <c r="X75" s="46">
        <f>X74/$I$4</f>
        <v>1.08087066193601</v>
      </c>
      <c r="Y75" s="46">
        <f>Y74/$I$4</f>
        <v>1.12410548304938</v>
      </c>
      <c r="Z75" s="46">
        <f>Z74/$I$4</f>
        <v>1.16906967957407</v>
      </c>
      <c r="AA75" s="46">
        <f>AA74/$I$4</f>
        <v>1.21583248150821</v>
      </c>
    </row>
    <row r="77" spans="2:31">
      <c r="B77" s="4" t="s">
        <v>48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1089.211</v>
      </c>
      <c r="P77" s="45">
        <v>1085.112</v>
      </c>
      <c r="Q77" s="45">
        <v>2450</v>
      </c>
      <c r="R77" s="45">
        <v>2548.0</v>
      </c>
      <c r="S77" s="45">
        <v>2649.92</v>
      </c>
      <c r="T77" s="45">
        <v>2755.9168</v>
      </c>
      <c r="U77" s="45">
        <v>2866.1535</v>
      </c>
      <c r="V77" s="45">
        <v>2980.7996</v>
      </c>
      <c r="W77" s="45">
        <v>3100.0316</v>
      </c>
      <c r="X77" s="45">
        <v>3224.0329</v>
      </c>
      <c r="Y77" s="45">
        <v>3352.9942</v>
      </c>
      <c r="Z77" s="45">
        <v>3487.1139</v>
      </c>
      <c r="AA77" s="45">
        <v>3626.5985</v>
      </c>
    </row>
    <row r="78" spans="2:31">
      <c r="B78" s="4" t="s">
        <v>49</v>
      </c>
      <c r="O78" s="46">
        <f>O77/shares</f>
        <v>0.365162593271917</v>
      </c>
      <c r="P78" s="46">
        <f>P77/shares</f>
        <v>0.363788386190074</v>
      </c>
      <c r="Q78" s="46">
        <f>Q77/shares</f>
        <v>0.821372859359845</v>
      </c>
      <c r="R78" s="46">
        <f>R77/shares</f>
        <v>0.854227773734239</v>
      </c>
      <c r="S78" s="46">
        <f>S77/shares</f>
        <v>0.888396884683609</v>
      </c>
      <c r="T78" s="46">
        <f>T77/shares</f>
        <v>0.923932760070953</v>
      </c>
      <c r="U78" s="46">
        <f>U77/shares</f>
        <v>0.96089007986091</v>
      </c>
      <c r="V78" s="46">
        <f>V77/shares</f>
        <v>0.999325669645177</v>
      </c>
      <c r="W78" s="46">
        <f>W77/shares</f>
        <v>1.03929870179505</v>
      </c>
      <c r="X78" s="46">
        <f>X77/shares</f>
        <v>1.08087066193601</v>
      </c>
      <c r="Y78" s="46">
        <f>Y77/shares</f>
        <v>1.12410548304938</v>
      </c>
      <c r="Z78" s="46">
        <f>Z77/shares</f>
        <v>1.16906967957407</v>
      </c>
      <c r="AA78" s="46">
        <f>AA77/shares</f>
        <v>1.21583248150821</v>
      </c>
      <c r="AB78" s="46">
        <f>AB77/shares</f>
        <v>0</v>
      </c>
    </row>
    <row r="80" spans="2:31">
      <c r="B80" s="4" t="s">
        <v>50</v>
      </c>
      <c r="G80" s="47">
        <f>G73/shares</f>
        <v>4.88950791719623</v>
      </c>
      <c r="H80" s="47">
        <f>H73/shares</f>
        <v>5.08092735342601</v>
      </c>
      <c r="I80" s="47">
        <f>I73/shares</f>
        <v>5.20642206294666</v>
      </c>
      <c r="J80" s="47">
        <f>J73/shares</f>
        <v>5.47678481807932</v>
      </c>
      <c r="K80" s="47">
        <f>K73/shares</f>
        <v>5.89987498369826</v>
      </c>
      <c r="L80" s="47">
        <f>L73/shares</f>
        <v>6.69137635606145</v>
      </c>
      <c r="M80" s="47">
        <f>M73/shares</f>
        <v>7.32095462971003</v>
      </c>
      <c r="N80" s="47">
        <f>N73/shares</f>
        <v>6.97910930327131</v>
      </c>
      <c r="O80" s="47">
        <f>O73/shares</f>
        <v>7.41110113916034</v>
      </c>
      <c r="P80" s="47">
        <f>P73/shares</f>
        <v>7.70074738225117</v>
      </c>
      <c r="Q80" s="47">
        <f>Q73/shares</f>
        <v>7.5361968961493</v>
      </c>
      <c r="R80" s="47">
        <f>R73/shares</f>
        <v>7.36506439730844</v>
      </c>
      <c r="S80" s="47">
        <f>S73/shares</f>
        <v>7.18708657705768</v>
      </c>
      <c r="T80" s="47">
        <f>T73/shares</f>
        <v>7.00198966679418</v>
      </c>
      <c r="U80" s="47">
        <f>U73/shares</f>
        <v>6.80948886805098</v>
      </c>
      <c r="V80" s="47">
        <f>V73/shares</f>
        <v>6.60928805076822</v>
      </c>
      <c r="W80" s="47">
        <f>W73/shares</f>
        <v>6.40107918336093</v>
      </c>
      <c r="X80" s="47">
        <f>X73/shares</f>
        <v>6.18454196393939</v>
      </c>
      <c r="Y80" s="47">
        <f>Y73/shares</f>
        <v>5.95934325037691</v>
      </c>
      <c r="Z80" s="47">
        <f>Z73/shares</f>
        <v>5.72513662447939</v>
      </c>
      <c r="AA80" s="47">
        <f>AA73/shares</f>
        <v>5.48156172147682</v>
      </c>
    </row>
    <row r="82" spans="2:30">
      <c r="B82" s="4" t="s">
        <v>51</v>
      </c>
      <c r="G82" s="46"/>
      <c r="H82" s="46"/>
      <c r="I82" s="46"/>
      <c r="J82" s="46"/>
      <c r="K82" s="46"/>
      <c r="L82" s="46"/>
      <c r="M82" s="46"/>
      <c r="N82" s="46"/>
      <c r="O82" s="46"/>
    </row>
    <row r="84" spans="2:30"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2:30" s="45" customFormat="1">
      <c r="B85" s="45" t="s">
        <v>52</v>
      </c>
      <c r="D85" s="45">
        <f>D44+D52</f>
        <v>9804.89884</v>
      </c>
      <c r="E85" s="45">
        <f>E44+E52</f>
        <v>10753.592256</v>
      </c>
      <c r="F85" s="45">
        <f>F44+F52</f>
        <v>14665.87668</v>
      </c>
      <c r="G85" s="45">
        <f>G44+G52</f>
        <v>12521.80836</v>
      </c>
      <c r="H85" s="45">
        <f>H44+H52</f>
        <v>15038.543272</v>
      </c>
      <c r="I85" s="45">
        <f>I86+I87</f>
        <v>15616.76424</v>
      </c>
      <c r="J85" s="45">
        <f>J86+J87</f>
        <v>17543.34436</v>
      </c>
      <c r="K85" s="45">
        <f>K86+K87</f>
        <v>24688.319864</v>
      </c>
      <c r="L85" s="45">
        <f>L86+L87</f>
        <v>26908.049688</v>
      </c>
      <c r="M85" s="45">
        <f>M86+M87</f>
        <v>25471.0828</v>
      </c>
      <c r="N85" s="45">
        <f>N86+N87</f>
        <v>29850.487984</v>
      </c>
      <c r="O85" s="45">
        <f>O86+O87</f>
        <v>39197.88765</v>
      </c>
      <c r="P85" s="45">
        <f>P86+P87</f>
        <v>40271.17399</v>
      </c>
      <c r="Q85" s="45">
        <f>Q86+Q87</f>
        <v>52511.32554</v>
      </c>
      <c r="R85" s="45">
        <f>R86+R87</f>
        <v>60829.14981</v>
      </c>
      <c r="S85" s="45">
        <f>S86+S87</f>
        <v>61507.22981</v>
      </c>
      <c r="T85" s="45">
        <f>T86+T87</f>
        <v>62212.43301</v>
      </c>
      <c r="U85" s="45">
        <f>U86+U87</f>
        <v>62945.84431</v>
      </c>
      <c r="V85" s="45">
        <f>V86+V87</f>
        <v>63708.59211</v>
      </c>
    </row>
    <row r="86" spans="2:30">
      <c r="B86" s="4" t="s">
        <v>53</v>
      </c>
      <c r="D86" s="45">
        <f>D52</f>
        <v>1130.029</v>
      </c>
      <c r="E86" s="45">
        <f>E52</f>
        <v>2398.899</v>
      </c>
      <c r="F86" s="45">
        <f>F52</f>
        <v>4841.655</v>
      </c>
      <c r="G86" s="45">
        <f>G52</f>
        <v>5871.987</v>
      </c>
      <c r="H86" s="45">
        <f>H52</f>
        <v>7551.337</v>
      </c>
      <c r="I86" s="45">
        <f>I52</f>
        <v>8789.067</v>
      </c>
      <c r="J86" s="45">
        <f>J52</f>
        <v>9183.178</v>
      </c>
      <c r="K86" s="45">
        <f>K52</f>
        <v>8249.852</v>
      </c>
      <c r="L86" s="45">
        <f>L52</f>
        <v>6400.329</v>
      </c>
      <c r="M86" s="45">
        <f>M52</f>
        <v>7957.15</v>
      </c>
      <c r="N86" s="45">
        <f>N52</f>
        <v>9485.068</v>
      </c>
      <c r="O86" s="45">
        <f>O52</f>
        <v>8922.356</v>
      </c>
      <c r="P86" s="45">
        <f>P52</f>
        <v>13157.422</v>
      </c>
      <c r="Q86" s="45">
        <f>Q52</f>
        <v>16300</v>
      </c>
      <c r="R86" s="45">
        <f>R52</f>
        <v>16952</v>
      </c>
      <c r="S86" s="45">
        <f>S52</f>
        <v>17630.08</v>
      </c>
      <c r="T86" s="45">
        <f>T52</f>
        <v>18335.2832</v>
      </c>
      <c r="U86" s="45">
        <f>U52</f>
        <v>19068.6945</v>
      </c>
      <c r="V86" s="45">
        <f>V52</f>
        <v>19831.4423</v>
      </c>
    </row>
    <row r="87" spans="2:30">
      <c r="B87" s="4" t="s">
        <v>30</v>
      </c>
      <c r="D87" s="45">
        <f>D44</f>
        <v>8674.86984</v>
      </c>
      <c r="E87" s="45">
        <f>E44</f>
        <v>8354.693256</v>
      </c>
      <c r="F87" s="45">
        <f>F44</f>
        <v>9824.22168</v>
      </c>
      <c r="G87" s="45">
        <f>G44</f>
        <v>6649.82136</v>
      </c>
      <c r="H87" s="45">
        <f>H44</f>
        <v>7487.206272</v>
      </c>
      <c r="I87" s="45">
        <f>I44</f>
        <v>6827.69724</v>
      </c>
      <c r="J87" s="45">
        <f>J44</f>
        <v>8360.16636</v>
      </c>
      <c r="K87" s="45">
        <f>K44</f>
        <v>16438.467864</v>
      </c>
      <c r="L87" s="45">
        <f>L44</f>
        <v>20507.720688</v>
      </c>
      <c r="M87" s="45">
        <f>M44</f>
        <v>17513.9328</v>
      </c>
      <c r="N87" s="45">
        <f>N44</f>
        <v>20365.419984</v>
      </c>
      <c r="O87" s="45">
        <f>O44</f>
        <v>30275.53165</v>
      </c>
      <c r="P87" s="45">
        <f>P44</f>
        <v>27113.75199</v>
      </c>
      <c r="Q87" s="45">
        <f>Q44</f>
        <v>36211.32554</v>
      </c>
      <c r="R87" s="45">
        <f>$K$4</f>
        <v>43877.14981</v>
      </c>
      <c r="S87" s="45">
        <f>$K$4</f>
        <v>43877.14981</v>
      </c>
      <c r="T87" s="45">
        <f>$K$4</f>
        <v>43877.14981</v>
      </c>
      <c r="U87" s="45">
        <f>$K$4</f>
        <v>43877.14981</v>
      </c>
      <c r="V87" s="45">
        <f>$K$4</f>
        <v>43877.14981</v>
      </c>
    </row>
    <row r="90" spans="2:30">
      <c r="B90" s="4" t="s">
        <v>54</v>
      </c>
    </row>
    <row r="91" spans="2:30">
      <c r="B91" s="45" t="s">
        <v>52</v>
      </c>
      <c r="E91" s="48">
        <f>E85/D85-1</f>
        <v>0.0967570835233624</v>
      </c>
      <c r="F91" s="48">
        <f>F85/E85-1</f>
        <v>0.363811862200478</v>
      </c>
      <c r="G91" s="48">
        <f>G85/F85-1</f>
        <v>-0.146194350790082</v>
      </c>
      <c r="H91" s="48">
        <f>H85/G85-1</f>
        <v>0.200988135231292</v>
      </c>
      <c r="I91" s="48">
        <f>I85/H85-1</f>
        <v>0.0384492671625034</v>
      </c>
      <c r="J91" s="48">
        <f>J85/I85-1</f>
        <v>0.123366152577584</v>
      </c>
      <c r="K91" s="48">
        <f>K85/J85-1</f>
        <v>0.407275566014142</v>
      </c>
      <c r="L91" s="48">
        <f>L85/K85-1</f>
        <v>0.0899101209085016</v>
      </c>
      <c r="M91" s="48">
        <f>M85/L85-1</f>
        <v>-0.0534028628853334</v>
      </c>
    </row>
    <row r="92" spans="2:30">
      <c r="B92" s="4" t="s">
        <v>53</v>
      </c>
      <c r="E92" s="48"/>
      <c r="F92" s="48"/>
      <c r="G92" s="48"/>
      <c r="H92" s="48"/>
      <c r="I92" s="48"/>
      <c r="J92" s="48"/>
      <c r="K92" s="48"/>
      <c r="L92" s="48"/>
      <c r="M92" s="48"/>
    </row>
    <row r="93" spans="2:30">
      <c r="E93" s="48"/>
      <c r="F93" s="48"/>
      <c r="G93" s="48"/>
      <c r="H93" s="48"/>
      <c r="I93" s="48"/>
      <c r="J93" s="48"/>
      <c r="K93" s="48"/>
      <c r="L93" s="48"/>
      <c r="M93" s="48"/>
    </row>
    <row r="94" spans="2:30">
      <c r="E94" s="32">
        <f>E34</f>
        <v>2013</v>
      </c>
      <c r="F94" s="32">
        <f>F40</f>
        <v>2014</v>
      </c>
      <c r="G94" s="32">
        <f>G40</f>
        <v>2015</v>
      </c>
      <c r="H94" s="32">
        <f>H40</f>
        <v>2016</v>
      </c>
      <c r="I94" s="32">
        <f>I40</f>
        <v>2017</v>
      </c>
      <c r="J94" s="32">
        <f>J40</f>
        <v>2018</v>
      </c>
      <c r="K94" s="32">
        <f>K40</f>
        <v>2019</v>
      </c>
      <c r="L94" s="32">
        <f>L40</f>
        <v>2020</v>
      </c>
      <c r="M94" s="32">
        <f>M40</f>
        <v>2021</v>
      </c>
      <c r="N94" s="32">
        <f>N40</f>
        <v>2022</v>
      </c>
      <c r="O94" s="32">
        <f>O40</f>
        <v>2023</v>
      </c>
      <c r="P94" s="32">
        <f>P40</f>
        <v>2024</v>
      </c>
      <c r="Q94" s="32">
        <f>Q40</f>
        <v>2025</v>
      </c>
      <c r="R94" s="32">
        <f>R40</f>
        <v>2026</v>
      </c>
      <c r="S94" s="32">
        <f>S40</f>
        <v>2027</v>
      </c>
    </row>
    <row r="95" spans="2:30">
      <c r="E95" s="48"/>
      <c r="F95" s="48"/>
      <c r="G95" s="48"/>
      <c r="H95" s="48"/>
      <c r="I95" s="48"/>
      <c r="J95" s="48"/>
      <c r="K95" s="48"/>
      <c r="L95" s="48"/>
      <c r="M95" s="48"/>
    </row>
    <row r="96" spans="2:30">
      <c r="B96" s="4" t="s">
        <v>30</v>
      </c>
      <c r="E96" s="48">
        <f>E87/D87-1</f>
        <v>-0.0369085173501575</v>
      </c>
      <c r="F96" s="48">
        <f>F87/E87-1</f>
        <v>0.175892564690468</v>
      </c>
      <c r="G96" s="48">
        <f>G87/F87-1</f>
        <v>-0.323119777158774</v>
      </c>
      <c r="H96" s="48">
        <f>H87/G87-1</f>
        <v>0.125925925925926</v>
      </c>
      <c r="I96" s="48">
        <f>I87/H87-1</f>
        <v>-0.0880847953216374</v>
      </c>
      <c r="J96" s="48">
        <f>J87/I87-1</f>
        <v>0.224448897795591</v>
      </c>
      <c r="K96" s="48">
        <f>K87/J87-1</f>
        <v>0.966284779050736</v>
      </c>
      <c r="L96" s="48">
        <f>L87/K87-1</f>
        <v>0.247544531380057</v>
      </c>
      <c r="M96" s="48">
        <f>M87/L87-1</f>
        <v>-0.14598345342941</v>
      </c>
    </row>
    <row r="101" spans="2:18">
      <c r="B101" s="4" t="s">
        <v>55</v>
      </c>
    </row>
    <row r="103" spans="2:18">
      <c r="B103" s="4" t="s">
        <v>56</v>
      </c>
      <c r="P103" s="49">
        <f>P20</f>
        <v>5170.999</v>
      </c>
      <c r="Q103" s="49">
        <f>Q20</f>
        <v>5817.033</v>
      </c>
      <c r="R103" s="49">
        <f>R20</f>
        <v>6049.7143</v>
      </c>
    </row>
    <row r="104" spans="2:18">
      <c r="B104" s="4" t="s">
        <v>57</v>
      </c>
      <c r="P104" s="45">
        <v>5119.3</v>
      </c>
      <c r="Q104" s="45">
        <v>5700.7</v>
      </c>
      <c r="R104" s="45">
        <v>6737.0</v>
      </c>
    </row>
    <row r="105" spans="2:18">
      <c r="B105" s="4" t="s">
        <v>58</v>
      </c>
      <c r="P105" s="48">
        <f>P104/P103-1</f>
        <v>-0.00999787468533675</v>
      </c>
      <c r="Q105" s="48">
        <f>Q104/Q103-1</f>
        <v>-0.0199986831774893</v>
      </c>
      <c r="R105" s="48">
        <f>R104/R103-1</f>
        <v>0.113606306995357</v>
      </c>
    </row>
    <row r="109" spans="2:18">
      <c r="B109" s="4" t="s">
        <v>59</v>
      </c>
      <c r="P109" s="45">
        <f>P18</f>
        <v>1949.072</v>
      </c>
      <c r="Q109" s="45">
        <f>Q18</f>
        <v>1959.177</v>
      </c>
      <c r="R109" s="45">
        <f>R18</f>
        <v>2037.5441</v>
      </c>
    </row>
    <row r="110" spans="2:18">
      <c r="B110" s="4" t="s">
        <v>60</v>
      </c>
      <c r="P110" s="45">
        <v>1988.1</v>
      </c>
      <c r="Q110" s="45">
        <v>2018.0</v>
      </c>
      <c r="R110" s="45">
        <v>2690.8</v>
      </c>
    </row>
    <row r="111" spans="2:18">
      <c r="B111" s="4" t="s">
        <v>58</v>
      </c>
      <c r="P111" s="48">
        <f>P110/P109-1</f>
        <v>0.0200238882914527</v>
      </c>
      <c r="Q111" s="48">
        <f>Q110/Q109-1</f>
        <v>0.0300243418537471</v>
      </c>
      <c r="R111" s="48">
        <f>R110/R109-1</f>
        <v>0.320609453311955</v>
      </c>
    </row>
  </sheetData>
  <pageMargins left="0.45" right="0.45" top="0.5" bottom="0.5" header="0.3" footer="0.3"/>
  <pageSetup paperSize="9" scale="63" orientation="landscape" horizontalDpi="360" verticalDpi="36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2026-07-14T16:41:10Z</dcterms:created>
  <dcterms:modified xsi:type="dcterms:W3CDTF">2026-07-14T16:41:31Z</dcterms:modified>
</cp:coreProperties>
</file>